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doslavta\Desktop\EGS\Personal\AIXTRON\RPA Foundation\"/>
    </mc:Choice>
  </mc:AlternateContent>
  <xr:revisionPtr revIDLastSave="0" documentId="13_ncr:1_{3D197E4D-AC57-47D1-97F0-215A7B2A5222}" xr6:coauthVersionLast="47" xr6:coauthVersionMax="47" xr10:uidLastSave="{00000000-0000-0000-0000-000000000000}"/>
  <bookViews>
    <workbookView xWindow="-108" yWindow="-108" windowWidth="23256" windowHeight="13176" tabRatio="500" activeTab="3" xr2:uid="{00000000-000D-0000-FFFF-FFFF00000000}"/>
  </bookViews>
  <sheets>
    <sheet name="Read Me" sheetId="1" r:id="rId1"/>
    <sheet name="Process Register" sheetId="2" r:id="rId2"/>
    <sheet name="Systems Matrix" sheetId="3" r:id="rId3"/>
    <sheet name="Dashboard" sheetId="4"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3" i="4" l="1"/>
  <c r="B22" i="4"/>
  <c r="B21" i="4"/>
  <c r="B20" i="4"/>
  <c r="B19" i="4"/>
  <c r="B18" i="4"/>
  <c r="B17" i="4"/>
  <c r="B16" i="4"/>
  <c r="B15" i="4"/>
  <c r="B14" i="4"/>
  <c r="B13" i="4"/>
  <c r="B9" i="4"/>
  <c r="B8" i="4"/>
  <c r="B7" i="4"/>
  <c r="B6" i="4"/>
  <c r="B5" i="4"/>
  <c r="B4" i="4"/>
  <c r="B3" i="4"/>
  <c r="I41" i="3"/>
  <c r="H41" i="3"/>
  <c r="G41" i="3"/>
  <c r="F41" i="3"/>
  <c r="E41" i="3"/>
  <c r="D41" i="3"/>
  <c r="C41" i="3"/>
  <c r="B41" i="3"/>
  <c r="A41" i="3"/>
  <c r="I40" i="3"/>
  <c r="H40" i="3"/>
  <c r="G40" i="3"/>
  <c r="F40" i="3"/>
  <c r="E40" i="3"/>
  <c r="D40" i="3"/>
  <c r="C40" i="3"/>
  <c r="B40" i="3"/>
  <c r="A40" i="3"/>
  <c r="I39" i="3"/>
  <c r="H39" i="3"/>
  <c r="G39" i="3"/>
  <c r="F39" i="3"/>
  <c r="E39" i="3"/>
  <c r="D39" i="3"/>
  <c r="C39" i="3"/>
  <c r="B39" i="3"/>
  <c r="A39" i="3"/>
  <c r="I38" i="3"/>
  <c r="H38" i="3"/>
  <c r="G38" i="3"/>
  <c r="F38" i="3"/>
  <c r="E38" i="3"/>
  <c r="D38" i="3"/>
  <c r="C38" i="3"/>
  <c r="B38" i="3"/>
  <c r="A38" i="3"/>
  <c r="I37" i="3"/>
  <c r="H37" i="3"/>
  <c r="G37" i="3"/>
  <c r="F37" i="3"/>
  <c r="E37" i="3"/>
  <c r="D37" i="3"/>
  <c r="C37" i="3"/>
  <c r="B37" i="3"/>
  <c r="A37" i="3"/>
  <c r="I36" i="3"/>
  <c r="H36" i="3"/>
  <c r="G36" i="3"/>
  <c r="F36" i="3"/>
  <c r="E36" i="3"/>
  <c r="D36" i="3"/>
  <c r="C36" i="3"/>
  <c r="B36" i="3"/>
  <c r="A36" i="3"/>
  <c r="I35" i="3"/>
  <c r="H35" i="3"/>
  <c r="G35" i="3"/>
  <c r="F35" i="3"/>
  <c r="E35" i="3"/>
  <c r="D35" i="3"/>
  <c r="C35" i="3"/>
  <c r="B35" i="3"/>
  <c r="A35" i="3"/>
  <c r="I34" i="3"/>
  <c r="H34" i="3"/>
  <c r="G34" i="3"/>
  <c r="F34" i="3"/>
  <c r="E34" i="3"/>
  <c r="D34" i="3"/>
  <c r="C34" i="3"/>
  <c r="B34" i="3"/>
  <c r="A34" i="3"/>
  <c r="I33" i="3"/>
  <c r="H33" i="3"/>
  <c r="G33" i="3"/>
  <c r="F33" i="3"/>
  <c r="E33" i="3"/>
  <c r="D33" i="3"/>
  <c r="C33" i="3"/>
  <c r="B33" i="3"/>
  <c r="A33" i="3"/>
  <c r="I32" i="3"/>
  <c r="H32" i="3"/>
  <c r="G32" i="3"/>
  <c r="F32" i="3"/>
  <c r="E32" i="3"/>
  <c r="D32" i="3"/>
  <c r="C32" i="3"/>
  <c r="B32" i="3"/>
  <c r="A32" i="3"/>
  <c r="I31" i="3"/>
  <c r="H31" i="3"/>
  <c r="G31" i="3"/>
  <c r="F31" i="3"/>
  <c r="E31" i="3"/>
  <c r="D31" i="3"/>
  <c r="C31" i="3"/>
  <c r="B31" i="3"/>
  <c r="A31" i="3"/>
  <c r="I30" i="3"/>
  <c r="H30" i="3"/>
  <c r="G30" i="3"/>
  <c r="F30" i="3"/>
  <c r="E30" i="3"/>
  <c r="D30" i="3"/>
  <c r="C30" i="3"/>
  <c r="B30" i="3"/>
  <c r="A30" i="3"/>
  <c r="I29" i="3"/>
  <c r="H29" i="3"/>
  <c r="G29" i="3"/>
  <c r="F29" i="3"/>
  <c r="E29" i="3"/>
  <c r="D29" i="3"/>
  <c r="C29" i="3"/>
  <c r="B29" i="3"/>
  <c r="A29" i="3"/>
  <c r="I28" i="3"/>
  <c r="H28" i="3"/>
  <c r="G28" i="3"/>
  <c r="F28" i="3"/>
  <c r="E28" i="3"/>
  <c r="D28" i="3"/>
  <c r="C28" i="3"/>
  <c r="B28" i="3"/>
  <c r="A28" i="3"/>
  <c r="I27" i="3"/>
  <c r="H27" i="3"/>
  <c r="G27" i="3"/>
  <c r="F27" i="3"/>
  <c r="E27" i="3"/>
  <c r="D27" i="3"/>
  <c r="C27" i="3"/>
  <c r="B27" i="3"/>
  <c r="A27" i="3"/>
  <c r="I26" i="3"/>
  <c r="H26" i="3"/>
  <c r="G26" i="3"/>
  <c r="F26" i="3"/>
  <c r="E26" i="3"/>
  <c r="D26" i="3"/>
  <c r="C26" i="3"/>
  <c r="B26" i="3"/>
  <c r="A26" i="3"/>
  <c r="I25" i="3"/>
  <c r="H25" i="3"/>
  <c r="G25" i="3"/>
  <c r="F25" i="3"/>
  <c r="E25" i="3"/>
  <c r="D25" i="3"/>
  <c r="C25" i="3"/>
  <c r="B25" i="3"/>
  <c r="A25" i="3"/>
  <c r="I24" i="3"/>
  <c r="H24" i="3"/>
  <c r="G24" i="3"/>
  <c r="F24" i="3"/>
  <c r="E24" i="3"/>
  <c r="D24" i="3"/>
  <c r="C24" i="3"/>
  <c r="B24" i="3"/>
  <c r="A24" i="3"/>
  <c r="I23" i="3"/>
  <c r="H23" i="3"/>
  <c r="G23" i="3"/>
  <c r="F23" i="3"/>
  <c r="E23" i="3"/>
  <c r="D23" i="3"/>
  <c r="C23" i="3"/>
  <c r="B23" i="3"/>
  <c r="A23" i="3"/>
  <c r="I22" i="3"/>
  <c r="H22" i="3"/>
  <c r="G22" i="3"/>
  <c r="F22" i="3"/>
  <c r="E22" i="3"/>
  <c r="D22" i="3"/>
  <c r="C22" i="3"/>
  <c r="B22" i="3"/>
  <c r="A22" i="3"/>
  <c r="I21" i="3"/>
  <c r="H21" i="3"/>
  <c r="G21" i="3"/>
  <c r="F21" i="3"/>
  <c r="E21" i="3"/>
  <c r="D21" i="3"/>
  <c r="C21" i="3"/>
  <c r="B21" i="3"/>
  <c r="A21" i="3"/>
  <c r="I20" i="3"/>
  <c r="H20" i="3"/>
  <c r="G20" i="3"/>
  <c r="F20" i="3"/>
  <c r="E20" i="3"/>
  <c r="D20" i="3"/>
  <c r="C20" i="3"/>
  <c r="B20" i="3"/>
  <c r="A20" i="3"/>
  <c r="I19" i="3"/>
  <c r="H19" i="3"/>
  <c r="G19" i="3"/>
  <c r="F19" i="3"/>
  <c r="E19" i="3"/>
  <c r="D19" i="3"/>
  <c r="C19" i="3"/>
  <c r="B19" i="3"/>
  <c r="A19" i="3"/>
  <c r="I18" i="3"/>
  <c r="H18" i="3"/>
  <c r="G18" i="3"/>
  <c r="F18" i="3"/>
  <c r="E18" i="3"/>
  <c r="D18" i="3"/>
  <c r="C18" i="3"/>
  <c r="B18" i="3"/>
  <c r="A18" i="3"/>
  <c r="I17" i="3"/>
  <c r="H17" i="3"/>
  <c r="G17" i="3"/>
  <c r="F17" i="3"/>
  <c r="E17" i="3"/>
  <c r="D17" i="3"/>
  <c r="C17" i="3"/>
  <c r="B17" i="3"/>
  <c r="A17" i="3"/>
  <c r="I16" i="3"/>
  <c r="H16" i="3"/>
  <c r="G16" i="3"/>
  <c r="F16" i="3"/>
  <c r="E16" i="3"/>
  <c r="D16" i="3"/>
  <c r="C16" i="3"/>
  <c r="B16" i="3"/>
  <c r="A16" i="3"/>
  <c r="I15" i="3"/>
  <c r="H15" i="3"/>
  <c r="G15" i="3"/>
  <c r="F15" i="3"/>
  <c r="E15" i="3"/>
  <c r="D15" i="3"/>
  <c r="C15" i="3"/>
  <c r="B15" i="3"/>
  <c r="A15" i="3"/>
  <c r="I14" i="3"/>
  <c r="H14" i="3"/>
  <c r="G14" i="3"/>
  <c r="F14" i="3"/>
  <c r="E14" i="3"/>
  <c r="D14" i="3"/>
  <c r="C14" i="3"/>
  <c r="B14" i="3"/>
  <c r="A14" i="3"/>
  <c r="I13" i="3"/>
  <c r="H13" i="3"/>
  <c r="G13" i="3"/>
  <c r="F13" i="3"/>
  <c r="E13" i="3"/>
  <c r="D13" i="3"/>
  <c r="C13" i="3"/>
  <c r="B13" i="3"/>
  <c r="A13" i="3"/>
  <c r="I12" i="3"/>
  <c r="H12" i="3"/>
  <c r="G12" i="3"/>
  <c r="F12" i="3"/>
  <c r="E12" i="3"/>
  <c r="D12" i="3"/>
  <c r="C12" i="3"/>
  <c r="B12" i="3"/>
  <c r="A12" i="3"/>
  <c r="I11" i="3"/>
  <c r="H11" i="3"/>
  <c r="G11" i="3"/>
  <c r="F11" i="3"/>
  <c r="E11" i="3"/>
  <c r="D11" i="3"/>
  <c r="C11" i="3"/>
  <c r="B11" i="3"/>
  <c r="A11" i="3"/>
  <c r="I10" i="3"/>
  <c r="H10" i="3"/>
  <c r="G10" i="3"/>
  <c r="F10" i="3"/>
  <c r="E10" i="3"/>
  <c r="D10" i="3"/>
  <c r="C10" i="3"/>
  <c r="B10" i="3"/>
  <c r="A10" i="3"/>
  <c r="I9" i="3"/>
  <c r="H9" i="3"/>
  <c r="G9" i="3"/>
  <c r="F9" i="3"/>
  <c r="E9" i="3"/>
  <c r="D9" i="3"/>
  <c r="C9" i="3"/>
  <c r="B9" i="3"/>
  <c r="A9" i="3"/>
  <c r="I8" i="3"/>
  <c r="H8" i="3"/>
  <c r="G8" i="3"/>
  <c r="F8" i="3"/>
  <c r="E8" i="3"/>
  <c r="D8" i="3"/>
  <c r="C8" i="3"/>
  <c r="B8" i="3"/>
  <c r="A8" i="3"/>
  <c r="I7" i="3"/>
  <c r="H7" i="3"/>
  <c r="G7" i="3"/>
  <c r="F7" i="3"/>
  <c r="E7" i="3"/>
  <c r="D7" i="3"/>
  <c r="C7" i="3"/>
  <c r="B7" i="3"/>
  <c r="A7" i="3"/>
  <c r="I6" i="3"/>
  <c r="H6" i="3"/>
  <c r="G6" i="3"/>
  <c r="F6" i="3"/>
  <c r="E6" i="3"/>
  <c r="D6" i="3"/>
  <c r="C6" i="3"/>
  <c r="B6" i="3"/>
  <c r="A6" i="3"/>
  <c r="I5" i="3"/>
  <c r="H5" i="3"/>
  <c r="G5" i="3"/>
  <c r="F5" i="3"/>
  <c r="E5" i="3"/>
  <c r="D5" i="3"/>
  <c r="C5" i="3"/>
  <c r="B5" i="3"/>
  <c r="A5" i="3"/>
  <c r="I4" i="3"/>
  <c r="H4" i="3"/>
  <c r="G4" i="3"/>
  <c r="F4" i="3"/>
  <c r="E4" i="3"/>
  <c r="D4" i="3"/>
  <c r="C4" i="3"/>
  <c r="B4" i="3"/>
  <c r="A4" i="3"/>
  <c r="I3" i="3"/>
  <c r="I43" i="3" s="1"/>
  <c r="E19" i="4" s="1"/>
  <c r="H3" i="3"/>
  <c r="H43" i="3" s="1"/>
  <c r="E18" i="4" s="1"/>
  <c r="G3" i="3"/>
  <c r="G43" i="3" s="1"/>
  <c r="E17" i="4" s="1"/>
  <c r="F3" i="3"/>
  <c r="F43" i="3" s="1"/>
  <c r="E16" i="4" s="1"/>
  <c r="E3" i="3"/>
  <c r="E43" i="3" s="1"/>
  <c r="E15" i="4" s="1"/>
  <c r="D3" i="3"/>
  <c r="D43" i="3" s="1"/>
  <c r="E14" i="4" s="1"/>
  <c r="C3" i="3"/>
  <c r="C43" i="3" s="1"/>
  <c r="E13" i="4" s="1"/>
  <c r="B3" i="3"/>
  <c r="A3" i="3"/>
  <c r="I2" i="3"/>
  <c r="H2" i="3"/>
  <c r="G2" i="3"/>
  <c r="F2" i="3"/>
  <c r="E2" i="3"/>
  <c r="D2" i="3"/>
  <c r="C2" i="3"/>
  <c r="B2" i="3"/>
  <c r="A2" i="3"/>
</calcChain>
</file>

<file path=xl/sharedStrings.xml><?xml version="1.0" encoding="utf-8"?>
<sst xmlns="http://schemas.openxmlformats.org/spreadsheetml/2006/main" count="103" uniqueCount="89">
  <si>
    <t>Automation Program Tracker</t>
  </si>
  <si>
    <t>How to use this workbook</t>
  </si>
  <si>
    <t>This workbook is the single register for every automation candidate and live bot — from first business request through to production and retirement. It complements the Business Process Discovery Questionnaire, Automation Feasibility Assessment, Solution Design Document, Coding Standards, Production Readiness Checklist, and Automation Governance Charter — this tracker is where each of those documents gets logged and linked.</t>
  </si>
  <si>
    <t>Tabs in this workbook:</t>
  </si>
  <si>
    <t xml:space="preserve">  •  Process Register — the master list. One row per process. Fill this in; everything else reads from it.</t>
  </si>
  <si>
    <t xml:space="preserve">  •  Systems Matrix — auto-generated from the Register. Shows which systems each process touches, so you can spot reuse opportunities and concentration risk (e.g. "12 of our 20 bots touch SAP").</t>
  </si>
  <si>
    <t xml:space="preserve">  •  Dashboard — auto-generated counts and charts: processes by status, by department, by system, and total estimated hours saved.</t>
  </si>
  <si>
    <t>Only edit cells in the Process Register tab. The Systems Matrix and Dashboard tabs are entirely formula-driven and will update automatically as you fill in the Register.</t>
  </si>
  <si>
    <t>Column notes for Process Register:</t>
  </si>
  <si>
    <t xml:space="preserve">  •  Status, Priority, and Automation Approach are dropdown lists — click a cell to choose a value.</t>
  </si>
  <si>
    <t xml:space="preserve">  •  Systems Involved is free text: enter one or more of SAP, Outlook, Excel, Web Portal, Database, SharePoint, Other — separated by commas, spelled exactly as listed here — so the Systems Matrix can match them correctly.</t>
  </si>
  <si>
    <t xml:space="preserve">  •  Questionnaire / Feasibility / SDD Ref columns: enter a file name, link, or ticket ID so anyone can find the underlying document for that process.</t>
  </si>
  <si>
    <t xml:space="preserve">  •  Row 2 is a filled-in example — overwrite it with your first real process, or leave it as a reference and start entering your data from row 3 onward.</t>
  </si>
  <si>
    <t>This workbook is a template — copy it before your first real use if you'd like to keep a blank master.</t>
  </si>
  <si>
    <t>Process ID</t>
  </si>
  <si>
    <t>Process Name</t>
  </si>
  <si>
    <t>Department</t>
  </si>
  <si>
    <t>Requested By</t>
  </si>
  <si>
    <t>Status</t>
  </si>
  <si>
    <t>Priority</t>
  </si>
  <si>
    <t>Automation Approach</t>
  </si>
  <si>
    <t>Systems Involved</t>
  </si>
  <si>
    <t>Questionnaire Ref</t>
  </si>
  <si>
    <t>Feasibility Ref</t>
  </si>
  <si>
    <t>SDD Ref</t>
  </si>
  <si>
    <t>Developer</t>
  </si>
  <si>
    <t>Business Owner</t>
  </si>
  <si>
    <t>Date Submitted</t>
  </si>
  <si>
    <t>Date Approved</t>
  </si>
  <si>
    <t>Planned Go-Live</t>
  </si>
  <si>
    <t>Actual Go-Live</t>
  </si>
  <si>
    <t>Est. Annual Hours Saved</t>
  </si>
  <si>
    <t>Actual Annual Hours Saved</t>
  </si>
  <si>
    <t>Notes</t>
  </si>
  <si>
    <t>AUT-001</t>
  </si>
  <si>
    <t>Invoice Matching - AP</t>
  </si>
  <si>
    <t>Finance</t>
  </si>
  <si>
    <t>Jane Doe</t>
  </si>
  <si>
    <t>In Development</t>
  </si>
  <si>
    <t>High</t>
  </si>
  <si>
    <t>RPA</t>
  </si>
  <si>
    <t>SAP, Outlook, Excel</t>
  </si>
  <si>
    <t>PDQ-2026-014</t>
  </si>
  <si>
    <t>FA-2026-014</t>
  </si>
  <si>
    <t>SDD-2026-014</t>
  </si>
  <si>
    <t>John Smith</t>
  </si>
  <si>
    <t>2026-03-10</t>
  </si>
  <si>
    <t>2026-03-24</t>
  </si>
  <si>
    <t>2026-08-15</t>
  </si>
  <si>
    <t>Pilot process for the new intake framework; first live candidate.</t>
  </si>
  <si>
    <t>SAP</t>
  </si>
  <si>
    <t>Outlook</t>
  </si>
  <si>
    <t>Excel</t>
  </si>
  <si>
    <t>Web Portal</t>
  </si>
  <si>
    <t>Database</t>
  </si>
  <si>
    <t>SharePoint</t>
  </si>
  <si>
    <t>Other</t>
  </si>
  <si>
    <t>Total processes using system</t>
  </si>
  <si>
    <t>Automation Program Dashboard</t>
  </si>
  <si>
    <t>Total processes tracked</t>
  </si>
  <si>
    <t>In production</t>
  </si>
  <si>
    <t>In development or testing</t>
  </si>
  <si>
    <t>Awaiting a decision (backlog/discovery/review)</t>
  </si>
  <si>
    <t>Parked or rejected</t>
  </si>
  <si>
    <t>Total estimated annual hours saved</t>
  </si>
  <si>
    <t>Total actual annual hours saved (post go-live)</t>
  </si>
  <si>
    <t>Processes by status</t>
  </si>
  <si>
    <t>Processes by system</t>
  </si>
  <si>
    <t>Count</t>
  </si>
  <si>
    <t>System</t>
  </si>
  <si>
    <t>Backlog</t>
  </si>
  <si>
    <t>Discovery</t>
  </si>
  <si>
    <t>Feasibility Review</t>
  </si>
  <si>
    <t>Governance Decision</t>
  </si>
  <si>
    <t>Approved - In Design</t>
  </si>
  <si>
    <t>Testing/UAT</t>
  </si>
  <si>
    <t>Production</t>
  </si>
  <si>
    <t>Parked</t>
  </si>
  <si>
    <t>Rejected</t>
  </si>
  <si>
    <t>Retired</t>
  </si>
  <si>
    <t>FIN - 002</t>
  </si>
  <si>
    <t>Procurement</t>
  </si>
  <si>
    <t>John D</t>
  </si>
  <si>
    <t>Medium</t>
  </si>
  <si>
    <t>API Integration</t>
  </si>
  <si>
    <t>PDQ-2025-01</t>
  </si>
  <si>
    <t>Peter Kendrik</t>
  </si>
  <si>
    <t>John Test</t>
  </si>
  <si>
    <t>Outlook, Web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</si>
</sst>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2E5C8A"/>
      <name val="Arial"/>
      <charset val="1"/>
    </font>
    <font>
      <b/>
      <sz val="13"/>
      <color rgb="FF1A1A1A"/>
      <name val="Arial"/>
      <charset val="1"/>
    </font>
    <font>
      <sz val="10.5"/>
      <color rgb="FF1A1A1A"/>
      <name val="Arial"/>
      <charset val="1"/>
    </font>
    <font>
      <b/>
      <sz val="10"/>
      <color rgb="FFFFFFFF"/>
      <name val="Arial"/>
      <charset val="1"/>
    </font>
    <font>
      <i/>
      <sz val="10"/>
      <color rgb="FF595959"/>
      <name val="Arial"/>
      <charset val="1"/>
    </font>
    <font>
      <sz val="10"/>
      <color rgb="FF1A1A1A"/>
      <name val="Arial"/>
      <charset val="1"/>
    </font>
    <font>
      <b/>
      <sz val="10"/>
      <color rgb="FF2E5C8A"/>
      <name val="Arial"/>
      <charset val="1"/>
    </font>
    <font>
      <b/>
      <sz val="10"/>
      <color rgb="FF1A1A1A"/>
      <name val="Arial"/>
      <charset val="1"/>
    </font>
    <font>
      <b/>
      <sz val="18"/>
      <color rgb="FF2E5C8A"/>
      <name val="Arial"/>
      <charset val="1"/>
    </font>
    <font>
      <b/>
      <sz val="12"/>
      <color rgb="FF1A1A1A"/>
      <name val="Arial"/>
      <charset val="1"/>
    </font>
  </fonts>
  <fills count="4">
    <fill>
      <patternFill patternType="none"/>
    </fill>
    <fill>
      <patternFill patternType="gray125"/>
    </fill>
    <fill>
      <patternFill patternType="solid">
        <fgColor rgb="FF2E5C8A"/>
        <bgColor rgb="FF595959"/>
      </patternFill>
    </fill>
    <fill>
      <patternFill patternType="solid">
        <fgColor rgb="FFFFF6CC"/>
        <bgColor rgb="FFF9F9F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xf numFmtId="0" fontId="7" fillId="0" borderId="1" xfId="0" applyFont="1" applyBorder="1" applyAlignment="1">
      <alignment horizontal="center"/>
    </xf>
    <xf numFmtId="0" fontId="8" fillId="0" borderId="0" xfId="0" applyFont="1"/>
    <xf numFmtId="0" fontId="9" fillId="0" borderId="0" xfId="0" applyFont="1"/>
    <xf numFmtId="0" fontId="7" fillId="0" borderId="0" xfId="0" applyFont="1" applyAlignment="1">
      <alignment horizontal="center"/>
    </xf>
    <xf numFmtId="0" fontId="10" fillId="0" borderId="0" xfId="0" applyFont="1"/>
    <xf numFmtId="0" fontId="4" fillId="2" borderId="1" xfId="0" applyFont="1" applyFill="1" applyBorder="1" applyAlignment="1">
      <alignment horizontal="center"/>
    </xf>
    <xf numFmtId="0" fontId="6" fillId="0" borderId="1" xfId="0" applyFont="1" applyBorder="1" applyAlignment="1">
      <alignment horizontal="center"/>
    </xf>
  </cellXfs>
  <cellStyles count="1">
    <cellStyle name="Normal" xfId="0" builtinId="0"/>
  </cellStyles>
  <dxfs count="6">
    <dxf>
      <fill>
        <patternFill>
          <bgColor rgb="FFD9D9D9"/>
        </patternFill>
      </fill>
    </dxf>
    <dxf>
      <fill>
        <patternFill>
          <bgColor rgb="FFD9D9D9"/>
        </patternFill>
      </fill>
    </dxf>
    <dxf>
      <fill>
        <patternFill>
          <bgColor rgb="FFFFC7CE"/>
        </patternFill>
      </fill>
    </dxf>
    <dxf>
      <fill>
        <patternFill>
          <bgColor rgb="FFFFEB9C"/>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6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E5C8A"/>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Processes by status</a:t>
            </a:r>
          </a:p>
        </c:rich>
      </c:tx>
      <c:overlay val="0"/>
      <c:spPr>
        <a:noFill/>
        <a:ln w="0">
          <a:noFill/>
        </a:ln>
      </c:spPr>
    </c:title>
    <c:autoTitleDeleted val="0"/>
    <c:plotArea>
      <c:layout/>
      <c:barChart>
        <c:barDir val="col"/>
        <c:grouping val="clustered"/>
        <c:varyColors val="0"/>
        <c:ser>
          <c:idx val="0"/>
          <c:order val="0"/>
          <c:tx>
            <c:strRef>
              <c:f>Dashboard!$B$12</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Dashboard!$A$13:$A$23</c:f>
              <c:strCache>
                <c:ptCount val="11"/>
                <c:pt idx="0">
                  <c:v>Backlog</c:v>
                </c:pt>
                <c:pt idx="1">
                  <c:v>Discovery</c:v>
                </c:pt>
                <c:pt idx="2">
                  <c:v>Feasibility Review</c:v>
                </c:pt>
                <c:pt idx="3">
                  <c:v>Governance Decision</c:v>
                </c:pt>
                <c:pt idx="4">
                  <c:v>Approved - In Design</c:v>
                </c:pt>
                <c:pt idx="5">
                  <c:v>In Development</c:v>
                </c:pt>
                <c:pt idx="6">
                  <c:v>Testing/UAT</c:v>
                </c:pt>
                <c:pt idx="7">
                  <c:v>Production</c:v>
                </c:pt>
                <c:pt idx="8">
                  <c:v>Parked</c:v>
                </c:pt>
                <c:pt idx="9">
                  <c:v>Rejected</c:v>
                </c:pt>
                <c:pt idx="10">
                  <c:v>Retired</c:v>
                </c:pt>
              </c:strCache>
            </c:strRef>
          </c:cat>
          <c:val>
            <c:numRef>
              <c:f>Dashboard!$B$13:$B$23</c:f>
              <c:numCache>
                <c:formatCode>General</c:formatCode>
                <c:ptCount val="11"/>
                <c:pt idx="0">
                  <c:v>0</c:v>
                </c:pt>
                <c:pt idx="1">
                  <c:v>0</c:v>
                </c:pt>
                <c:pt idx="2">
                  <c:v>0</c:v>
                </c:pt>
                <c:pt idx="3">
                  <c:v>0</c:v>
                </c:pt>
                <c:pt idx="4">
                  <c:v>0</c:v>
                </c:pt>
                <c:pt idx="5">
                  <c:v>1</c:v>
                </c:pt>
                <c:pt idx="6">
                  <c:v>0</c:v>
                </c:pt>
                <c:pt idx="7">
                  <c:v>1</c:v>
                </c:pt>
                <c:pt idx="8">
                  <c:v>0</c:v>
                </c:pt>
                <c:pt idx="9">
                  <c:v>0</c:v>
                </c:pt>
                <c:pt idx="10">
                  <c:v>0</c:v>
                </c:pt>
              </c:numCache>
            </c:numRef>
          </c:val>
          <c:extLst>
            <c:ext xmlns:c16="http://schemas.microsoft.com/office/drawing/2014/chart" uri="{C3380CC4-5D6E-409C-BE32-E72D297353CC}">
              <c16:uniqueId val="{00000000-2533-42A2-9B40-7C9D482DCAE9}"/>
            </c:ext>
          </c:extLst>
        </c:ser>
        <c:dLbls>
          <c:showLegendKey val="0"/>
          <c:showVal val="0"/>
          <c:showCatName val="0"/>
          <c:showSerName val="0"/>
          <c:showPercent val="0"/>
          <c:showBubbleSize val="0"/>
        </c:dLbls>
        <c:gapWidth val="150"/>
        <c:axId val="60648161"/>
        <c:axId val="39727275"/>
      </c:barChart>
      <c:catAx>
        <c:axId val="606481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727275"/>
        <c:crosses val="autoZero"/>
        <c:auto val="1"/>
        <c:lblAlgn val="ctr"/>
        <c:lblOffset val="100"/>
        <c:noMultiLvlLbl val="0"/>
      </c:catAx>
      <c:valAx>
        <c:axId val="3972727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64816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Processes by system</a:t>
            </a:r>
          </a:p>
        </c:rich>
      </c:tx>
      <c:overlay val="0"/>
      <c:spPr>
        <a:noFill/>
        <a:ln w="0">
          <a:noFill/>
        </a:ln>
      </c:spPr>
    </c:title>
    <c:autoTitleDeleted val="0"/>
    <c:plotArea>
      <c:layout/>
      <c:barChart>
        <c:barDir val="col"/>
        <c:grouping val="clustered"/>
        <c:varyColors val="0"/>
        <c:ser>
          <c:idx val="0"/>
          <c:order val="0"/>
          <c:tx>
            <c:strRef>
              <c:f>Dashboard!$E$12</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Dashboard!$D$13:$D$19</c:f>
              <c:strCache>
                <c:ptCount val="7"/>
                <c:pt idx="0">
                  <c:v>SAP</c:v>
                </c:pt>
                <c:pt idx="1">
                  <c:v>Outlook</c:v>
                </c:pt>
                <c:pt idx="2">
                  <c:v>Excel</c:v>
                </c:pt>
                <c:pt idx="3">
                  <c:v>Web Portal</c:v>
                </c:pt>
                <c:pt idx="4">
                  <c:v>Database</c:v>
                </c:pt>
                <c:pt idx="5">
                  <c:v>SharePoint</c:v>
                </c:pt>
                <c:pt idx="6">
                  <c:v>Other</c:v>
                </c:pt>
              </c:strCache>
            </c:strRef>
          </c:cat>
          <c:val>
            <c:numRef>
              <c:f>Dashboard!$E$13:$E$19</c:f>
              <c:numCache>
                <c:formatCode>General</c:formatCode>
                <c:ptCount val="7"/>
                <c:pt idx="0">
                  <c:v>1</c:v>
                </c:pt>
                <c:pt idx="1">
                  <c:v>2</c:v>
                </c:pt>
                <c:pt idx="2">
                  <c:v>1</c:v>
                </c:pt>
                <c:pt idx="3">
                  <c:v>1</c:v>
                </c:pt>
                <c:pt idx="4">
                  <c:v>0</c:v>
                </c:pt>
                <c:pt idx="5">
                  <c:v>0</c:v>
                </c:pt>
                <c:pt idx="6">
                  <c:v>0</c:v>
                </c:pt>
              </c:numCache>
            </c:numRef>
          </c:val>
          <c:extLst>
            <c:ext xmlns:c16="http://schemas.microsoft.com/office/drawing/2014/chart" uri="{C3380CC4-5D6E-409C-BE32-E72D297353CC}">
              <c16:uniqueId val="{00000000-8A9C-4C00-8AD7-7043ECEFC48F}"/>
            </c:ext>
          </c:extLst>
        </c:ser>
        <c:dLbls>
          <c:showLegendKey val="0"/>
          <c:showVal val="0"/>
          <c:showCatName val="0"/>
          <c:showSerName val="0"/>
          <c:showPercent val="0"/>
          <c:showBubbleSize val="0"/>
        </c:dLbls>
        <c:gapWidth val="150"/>
        <c:axId val="25841600"/>
        <c:axId val="8894543"/>
      </c:barChart>
      <c:catAx>
        <c:axId val="258416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94543"/>
        <c:crosses val="autoZero"/>
        <c:auto val="1"/>
        <c:lblAlgn val="ctr"/>
        <c:lblOffset val="100"/>
        <c:noMultiLvlLbl val="0"/>
      </c:catAx>
      <c:valAx>
        <c:axId val="889454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8416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24</xdr:row>
      <xdr:rowOff>63060</xdr:rowOff>
    </xdr:from>
    <xdr:to>
      <xdr:col>4</xdr:col>
      <xdr:colOff>168660</xdr:colOff>
      <xdr:row>39</xdr:row>
      <xdr:rowOff>85020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754380</xdr:colOff>
      <xdr:row>22</xdr:row>
      <xdr:rowOff>32580</xdr:rowOff>
    </xdr:from>
    <xdr:to>
      <xdr:col>10</xdr:col>
      <xdr:colOff>461700</xdr:colOff>
      <xdr:row>37</xdr:row>
      <xdr:rowOff>54540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cessRegister" displayName="ProcessRegister" ref="A1:T41" totalsRowShown="0">
  <autoFilter ref="A1:T41" xr:uid="{00000000-0009-0000-0100-000001000000}"/>
  <tableColumns count="20">
    <tableColumn id="1" xr3:uid="{00000000-0010-0000-0000-000001000000}" name="Process ID"/>
    <tableColumn id="2" xr3:uid="{00000000-0010-0000-0000-000002000000}" name="Process Name"/>
    <tableColumn id="3" xr3:uid="{00000000-0010-0000-0000-000003000000}" name="Department"/>
    <tableColumn id="4" xr3:uid="{00000000-0010-0000-0000-000004000000}" name="Requested By"/>
    <tableColumn id="5" xr3:uid="{00000000-0010-0000-0000-000005000000}" name="Status"/>
    <tableColumn id="6" xr3:uid="{00000000-0010-0000-0000-000006000000}" name="Priority"/>
    <tableColumn id="7" xr3:uid="{00000000-0010-0000-0000-000007000000}" name="Automation Approach"/>
    <tableColumn id="8" xr3:uid="{00000000-0010-0000-0000-000008000000}" name="Systems Involved"/>
    <tableColumn id="9" xr3:uid="{00000000-0010-0000-0000-000009000000}" name="Questionnaire Ref"/>
    <tableColumn id="10" xr3:uid="{00000000-0010-0000-0000-00000A000000}" name="Feasibility Ref"/>
    <tableColumn id="11" xr3:uid="{00000000-0010-0000-0000-00000B000000}" name="SDD Ref"/>
    <tableColumn id="12" xr3:uid="{00000000-0010-0000-0000-00000C000000}" name="Developer"/>
    <tableColumn id="13" xr3:uid="{00000000-0010-0000-0000-00000D000000}" name="Business Owner"/>
    <tableColumn id="14" xr3:uid="{00000000-0010-0000-0000-00000E000000}" name="Date Submitted"/>
    <tableColumn id="15" xr3:uid="{00000000-0010-0000-0000-00000F000000}" name="Date Approved"/>
    <tableColumn id="16" xr3:uid="{00000000-0010-0000-0000-000010000000}" name="Planned Go-Live"/>
    <tableColumn id="17" xr3:uid="{00000000-0010-0000-0000-000011000000}" name="Actual Go-Live"/>
    <tableColumn id="18" xr3:uid="{00000000-0010-0000-0000-000012000000}" name="Est. Annual Hours Saved"/>
    <tableColumn id="19" xr3:uid="{00000000-0010-0000-0000-000013000000}" name="Actual Annual Hours Saved"/>
    <tableColumn id="20" xr3:uid="{00000000-0010-0000-0000-000014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showGridLines="0" topLeftCell="A4" zoomScaleNormal="100" workbookViewId="0">
      <selection activeCell="C15" sqref="C15"/>
    </sheetView>
  </sheetViews>
  <sheetFormatPr defaultColWidth="8.6640625" defaultRowHeight="14.4" x14ac:dyDescent="0.3"/>
  <cols>
    <col min="1" max="1" width="100" customWidth="1"/>
  </cols>
  <sheetData>
    <row r="1" spans="1:1" ht="24.6" x14ac:dyDescent="0.4">
      <c r="A1" s="1" t="s">
        <v>0</v>
      </c>
    </row>
    <row r="2" spans="1:1" ht="16.8" x14ac:dyDescent="0.3">
      <c r="A2" s="2" t="s">
        <v>1</v>
      </c>
    </row>
    <row r="3" spans="1:1" x14ac:dyDescent="0.3">
      <c r="A3" s="3"/>
    </row>
    <row r="4" spans="1:1" ht="69" x14ac:dyDescent="0.3">
      <c r="A4" s="3" t="s">
        <v>2</v>
      </c>
    </row>
    <row r="5" spans="1:1" x14ac:dyDescent="0.3">
      <c r="A5" s="3"/>
    </row>
    <row r="6" spans="1:1" x14ac:dyDescent="0.3">
      <c r="A6" s="3" t="s">
        <v>3</v>
      </c>
    </row>
    <row r="7" spans="1:1" ht="27.75" customHeight="1" x14ac:dyDescent="0.3">
      <c r="A7" s="3" t="s">
        <v>4</v>
      </c>
    </row>
    <row r="8" spans="1:1" ht="27.75" customHeight="1" x14ac:dyDescent="0.3">
      <c r="A8" s="3" t="s">
        <v>5</v>
      </c>
    </row>
    <row r="9" spans="1:1" ht="27.75" customHeight="1" x14ac:dyDescent="0.3">
      <c r="A9" s="3" t="s">
        <v>6</v>
      </c>
    </row>
    <row r="10" spans="1:1" x14ac:dyDescent="0.3">
      <c r="A10" s="3"/>
    </row>
    <row r="11" spans="1:1" ht="27.6" x14ac:dyDescent="0.3">
      <c r="A11" s="3" t="s">
        <v>7</v>
      </c>
    </row>
    <row r="12" spans="1:1" x14ac:dyDescent="0.3">
      <c r="A12" s="3"/>
    </row>
    <row r="13" spans="1:1" x14ac:dyDescent="0.3">
      <c r="A13" s="3" t="s">
        <v>8</v>
      </c>
    </row>
    <row r="14" spans="1:1" ht="27.75" customHeight="1" x14ac:dyDescent="0.3">
      <c r="A14" s="3" t="s">
        <v>9</v>
      </c>
    </row>
    <row r="15" spans="1:1" ht="27.75" customHeight="1" x14ac:dyDescent="0.3">
      <c r="A15" s="3" t="s">
        <v>10</v>
      </c>
    </row>
    <row r="16" spans="1:1" ht="27.75" customHeight="1" x14ac:dyDescent="0.3">
      <c r="A16" s="3" t="s">
        <v>11</v>
      </c>
    </row>
    <row r="17" spans="1:1" ht="27.75" customHeight="1" x14ac:dyDescent="0.3">
      <c r="A17" s="3" t="s">
        <v>12</v>
      </c>
    </row>
    <row r="18" spans="1:1" x14ac:dyDescent="0.3">
      <c r="A18" s="3"/>
    </row>
    <row r="19" spans="1:1" x14ac:dyDescent="0.3">
      <c r="A19" s="3"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1"/>
  <sheetViews>
    <sheetView showGridLines="0" zoomScaleNormal="100" workbookViewId="0">
      <pane ySplit="1" topLeftCell="A2" activePane="bottomLeft" state="frozen"/>
      <selection pane="bottomLeft" activeCell="D8" sqref="D8"/>
    </sheetView>
  </sheetViews>
  <sheetFormatPr defaultColWidth="8.6640625" defaultRowHeight="14.4" x14ac:dyDescent="0.3"/>
  <cols>
    <col min="1" max="1" width="11" customWidth="1"/>
    <col min="2" max="2" width="24" customWidth="1"/>
    <col min="3" max="4" width="14" customWidth="1"/>
    <col min="5" max="5" width="18" customWidth="1"/>
    <col min="6" max="6" width="10" customWidth="1"/>
    <col min="7" max="7" width="20" customWidth="1"/>
    <col min="8" max="8" width="24" customWidth="1"/>
    <col min="9" max="9" width="16" customWidth="1"/>
    <col min="10" max="10" width="15" customWidth="1"/>
    <col min="11" max="11" width="12" customWidth="1"/>
    <col min="12" max="13" width="14" customWidth="1"/>
    <col min="14" max="17" width="13" customWidth="1"/>
    <col min="18" max="19" width="16" customWidth="1"/>
    <col min="20" max="20" width="28" customWidth="1"/>
  </cols>
  <sheetData>
    <row r="1" spans="1:20" ht="30" customHeight="1" x14ac:dyDescent="0.3">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c r="Q1" s="4" t="s">
        <v>30</v>
      </c>
      <c r="R1" s="4" t="s">
        <v>31</v>
      </c>
      <c r="S1" s="4" t="s">
        <v>32</v>
      </c>
      <c r="T1" s="4" t="s">
        <v>33</v>
      </c>
    </row>
    <row r="2" spans="1:20" ht="26.4" x14ac:dyDescent="0.3">
      <c r="A2" s="5" t="s">
        <v>34</v>
      </c>
      <c r="B2" s="5" t="s">
        <v>35</v>
      </c>
      <c r="C2" s="5" t="s">
        <v>36</v>
      </c>
      <c r="D2" s="5" t="s">
        <v>37</v>
      </c>
      <c r="E2" s="5" t="s">
        <v>38</v>
      </c>
      <c r="F2" s="5" t="s">
        <v>39</v>
      </c>
      <c r="G2" s="5" t="s">
        <v>40</v>
      </c>
      <c r="H2" s="5" t="s">
        <v>41</v>
      </c>
      <c r="I2" s="5" t="s">
        <v>42</v>
      </c>
      <c r="J2" s="5" t="s">
        <v>43</v>
      </c>
      <c r="K2" s="5" t="s">
        <v>44</v>
      </c>
      <c r="L2" s="5" t="s">
        <v>45</v>
      </c>
      <c r="M2" s="5" t="s">
        <v>37</v>
      </c>
      <c r="N2" s="5" t="s">
        <v>46</v>
      </c>
      <c r="O2" s="5" t="s">
        <v>47</v>
      </c>
      <c r="P2" s="5" t="s">
        <v>48</v>
      </c>
      <c r="Q2" s="5"/>
      <c r="R2" s="5">
        <v>480</v>
      </c>
      <c r="S2" s="5"/>
      <c r="T2" s="5" t="s">
        <v>49</v>
      </c>
    </row>
    <row r="3" spans="1:20" x14ac:dyDescent="0.3">
      <c r="A3" s="6" t="s">
        <v>80</v>
      </c>
      <c r="B3" s="6" t="s">
        <v>87</v>
      </c>
      <c r="C3" s="6" t="s">
        <v>81</v>
      </c>
      <c r="D3" s="6" t="s">
        <v>82</v>
      </c>
      <c r="E3" s="6" t="s">
        <v>76</v>
      </c>
      <c r="F3" s="6" t="s">
        <v>83</v>
      </c>
      <c r="G3" s="6" t="s">
        <v>84</v>
      </c>
      <c r="H3" s="6" t="s">
        <v>88</v>
      </c>
      <c r="I3" s="6" t="s">
        <v>85</v>
      </c>
      <c r="J3" s="6"/>
      <c r="K3" s="6"/>
      <c r="L3" s="6" t="s">
        <v>86</v>
      </c>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row r="30" spans="1:20" x14ac:dyDescent="0.3">
      <c r="A30" s="6"/>
      <c r="B30" s="6"/>
      <c r="C30" s="6"/>
      <c r="D30" s="6"/>
      <c r="E30" s="6"/>
      <c r="F30" s="6"/>
      <c r="G30" s="6"/>
      <c r="H30" s="6"/>
      <c r="I30" s="6"/>
      <c r="J30" s="6"/>
      <c r="K30" s="6"/>
      <c r="L30" s="6"/>
      <c r="M30" s="6"/>
      <c r="N30" s="6"/>
      <c r="O30" s="6"/>
      <c r="P30" s="6"/>
      <c r="Q30" s="6"/>
      <c r="R30" s="6"/>
      <c r="S30" s="6"/>
      <c r="T30" s="6"/>
    </row>
    <row r="31" spans="1:20" x14ac:dyDescent="0.3">
      <c r="A31" s="6"/>
      <c r="B31" s="6"/>
      <c r="C31" s="6"/>
      <c r="D31" s="6"/>
      <c r="E31" s="6"/>
      <c r="F31" s="6"/>
      <c r="G31" s="6"/>
      <c r="H31" s="6"/>
      <c r="I31" s="6"/>
      <c r="J31" s="6"/>
      <c r="K31" s="6"/>
      <c r="L31" s="6"/>
      <c r="M31" s="6"/>
      <c r="N31" s="6"/>
      <c r="O31" s="6"/>
      <c r="P31" s="6"/>
      <c r="Q31" s="6"/>
      <c r="R31" s="6"/>
      <c r="S31" s="6"/>
      <c r="T31" s="6"/>
    </row>
    <row r="32" spans="1:20" x14ac:dyDescent="0.3">
      <c r="A32" s="6"/>
      <c r="B32" s="6"/>
      <c r="C32" s="6"/>
      <c r="D32" s="6"/>
      <c r="E32" s="6"/>
      <c r="F32" s="6"/>
      <c r="G32" s="6"/>
      <c r="H32" s="6"/>
      <c r="I32" s="6"/>
      <c r="J32" s="6"/>
      <c r="K32" s="6"/>
      <c r="L32" s="6"/>
      <c r="M32" s="6"/>
      <c r="N32" s="6"/>
      <c r="O32" s="6"/>
      <c r="P32" s="6"/>
      <c r="Q32" s="6"/>
      <c r="R32" s="6"/>
      <c r="S32" s="6"/>
      <c r="T32" s="6"/>
    </row>
    <row r="33" spans="1:20" x14ac:dyDescent="0.3">
      <c r="A33" s="6"/>
      <c r="B33" s="6"/>
      <c r="C33" s="6"/>
      <c r="D33" s="6"/>
      <c r="E33" s="6"/>
      <c r="F33" s="6"/>
      <c r="G33" s="6"/>
      <c r="H33" s="6"/>
      <c r="I33" s="6"/>
      <c r="J33" s="6"/>
      <c r="K33" s="6"/>
      <c r="L33" s="6"/>
      <c r="M33" s="6"/>
      <c r="N33" s="6"/>
      <c r="O33" s="6"/>
      <c r="P33" s="6"/>
      <c r="Q33" s="6"/>
      <c r="R33" s="6"/>
      <c r="S33" s="6"/>
      <c r="T33" s="6"/>
    </row>
    <row r="34" spans="1:20" x14ac:dyDescent="0.3">
      <c r="A34" s="6"/>
      <c r="B34" s="6"/>
      <c r="C34" s="6"/>
      <c r="D34" s="6"/>
      <c r="E34" s="6"/>
      <c r="F34" s="6"/>
      <c r="G34" s="6"/>
      <c r="H34" s="6"/>
      <c r="I34" s="6"/>
      <c r="J34" s="6"/>
      <c r="K34" s="6"/>
      <c r="L34" s="6"/>
      <c r="M34" s="6"/>
      <c r="N34" s="6"/>
      <c r="O34" s="6"/>
      <c r="P34" s="6"/>
      <c r="Q34" s="6"/>
      <c r="R34" s="6"/>
      <c r="S34" s="6"/>
      <c r="T34" s="6"/>
    </row>
    <row r="35" spans="1:20" x14ac:dyDescent="0.3">
      <c r="A35" s="6"/>
      <c r="B35" s="6"/>
      <c r="C35" s="6"/>
      <c r="D35" s="6"/>
      <c r="E35" s="6"/>
      <c r="F35" s="6"/>
      <c r="G35" s="6"/>
      <c r="H35" s="6"/>
      <c r="I35" s="6"/>
      <c r="J35" s="6"/>
      <c r="K35" s="6"/>
      <c r="L35" s="6"/>
      <c r="M35" s="6"/>
      <c r="N35" s="6"/>
      <c r="O35" s="6"/>
      <c r="P35" s="6"/>
      <c r="Q35" s="6"/>
      <c r="R35" s="6"/>
      <c r="S35" s="6"/>
      <c r="T35" s="6"/>
    </row>
    <row r="36" spans="1:20" x14ac:dyDescent="0.3">
      <c r="A36" s="6"/>
      <c r="B36" s="6"/>
      <c r="C36" s="6"/>
      <c r="D36" s="6"/>
      <c r="E36" s="6"/>
      <c r="F36" s="6"/>
      <c r="G36" s="6"/>
      <c r="H36" s="6"/>
      <c r="I36" s="6"/>
      <c r="J36" s="6"/>
      <c r="K36" s="6"/>
      <c r="L36" s="6"/>
      <c r="M36" s="6"/>
      <c r="N36" s="6"/>
      <c r="O36" s="6"/>
      <c r="P36" s="6"/>
      <c r="Q36" s="6"/>
      <c r="R36" s="6"/>
      <c r="S36" s="6"/>
      <c r="T36" s="6"/>
    </row>
    <row r="37" spans="1:20" x14ac:dyDescent="0.3">
      <c r="A37" s="6"/>
      <c r="B37" s="6"/>
      <c r="C37" s="6"/>
      <c r="D37" s="6"/>
      <c r="E37" s="6"/>
      <c r="F37" s="6"/>
      <c r="G37" s="6"/>
      <c r="H37" s="6"/>
      <c r="I37" s="6"/>
      <c r="J37" s="6"/>
      <c r="K37" s="6"/>
      <c r="L37" s="6"/>
      <c r="M37" s="6"/>
      <c r="N37" s="6"/>
      <c r="O37" s="6"/>
      <c r="P37" s="6"/>
      <c r="Q37" s="6"/>
      <c r="R37" s="6"/>
      <c r="S37" s="6"/>
      <c r="T37" s="6"/>
    </row>
    <row r="38" spans="1:20" x14ac:dyDescent="0.3">
      <c r="A38" s="6"/>
      <c r="B38" s="6"/>
      <c r="C38" s="6"/>
      <c r="D38" s="6"/>
      <c r="E38" s="6"/>
      <c r="F38" s="6"/>
      <c r="G38" s="6"/>
      <c r="H38" s="6"/>
      <c r="I38" s="6"/>
      <c r="J38" s="6"/>
      <c r="K38" s="6"/>
      <c r="L38" s="6"/>
      <c r="M38" s="6"/>
      <c r="N38" s="6"/>
      <c r="O38" s="6"/>
      <c r="P38" s="6"/>
      <c r="Q38" s="6"/>
      <c r="R38" s="6"/>
      <c r="S38" s="6"/>
      <c r="T38" s="6"/>
    </row>
    <row r="39" spans="1:20" x14ac:dyDescent="0.3">
      <c r="A39" s="6"/>
      <c r="B39" s="6"/>
      <c r="C39" s="6"/>
      <c r="D39" s="6"/>
      <c r="E39" s="6"/>
      <c r="F39" s="6"/>
      <c r="G39" s="6"/>
      <c r="H39" s="6"/>
      <c r="I39" s="6"/>
      <c r="J39" s="6"/>
      <c r="K39" s="6"/>
      <c r="L39" s="6"/>
      <c r="M39" s="6"/>
      <c r="N39" s="6"/>
      <c r="O39" s="6"/>
      <c r="P39" s="6"/>
      <c r="Q39" s="6"/>
      <c r="R39" s="6"/>
      <c r="S39" s="6"/>
      <c r="T39" s="6"/>
    </row>
    <row r="40" spans="1:20" x14ac:dyDescent="0.3">
      <c r="A40" s="6"/>
      <c r="B40" s="6"/>
      <c r="C40" s="6"/>
      <c r="D40" s="6"/>
      <c r="E40" s="6"/>
      <c r="F40" s="6"/>
      <c r="G40" s="6"/>
      <c r="H40" s="6"/>
      <c r="I40" s="6"/>
      <c r="J40" s="6"/>
      <c r="K40" s="6"/>
      <c r="L40" s="6"/>
      <c r="M40" s="6"/>
      <c r="N40" s="6"/>
      <c r="O40" s="6"/>
      <c r="P40" s="6"/>
      <c r="Q40" s="6"/>
      <c r="R40" s="6"/>
      <c r="S40" s="6"/>
      <c r="T40" s="6"/>
    </row>
    <row r="41" spans="1:20" x14ac:dyDescent="0.3">
      <c r="A41" s="6"/>
      <c r="B41" s="6"/>
      <c r="C41" s="6"/>
      <c r="D41" s="6"/>
      <c r="E41" s="6"/>
      <c r="F41" s="6"/>
      <c r="G41" s="6"/>
      <c r="H41" s="6"/>
      <c r="I41" s="6"/>
      <c r="J41" s="6"/>
      <c r="K41" s="6"/>
      <c r="L41" s="6"/>
      <c r="M41" s="6"/>
      <c r="N41" s="6"/>
      <c r="O41" s="6"/>
      <c r="P41" s="6"/>
      <c r="Q41" s="6"/>
      <c r="R41" s="6"/>
      <c r="S41" s="6"/>
      <c r="T41" s="6"/>
    </row>
  </sheetData>
  <conditionalFormatting sqref="E2:E41">
    <cfRule type="cellIs" dxfId="5" priority="2" operator="equal">
      <formula>"Production"</formula>
    </cfRule>
    <cfRule type="cellIs" dxfId="4" priority="3" operator="equal">
      <formula>"In Development"</formula>
    </cfRule>
    <cfRule type="cellIs" dxfId="3" priority="4" operator="equal">
      <formula>"Testing/UAT"</formula>
    </cfRule>
    <cfRule type="cellIs" dxfId="2" priority="5" operator="equal">
      <formula>"Rejected"</formula>
    </cfRule>
    <cfRule type="cellIs" dxfId="1" priority="6" operator="equal">
      <formula>"Retired"</formula>
    </cfRule>
    <cfRule type="cellIs" dxfId="0" priority="7" operator="equal">
      <formula>"Parked"</formula>
    </cfRule>
  </conditionalFormatting>
  <dataValidations count="3">
    <dataValidation type="list" allowBlank="1" sqref="E2:E41" xr:uid="{00000000-0002-0000-0100-000000000000}">
      <formula1>"Backlog,Discovery,Feasibility Review,Governance Decision,Approved - In Design,In Development,Testing/UAT,Production,Parked,Rejected,Retired"</formula1>
      <formula2>0</formula2>
    </dataValidation>
    <dataValidation type="list" allowBlank="1" sqref="F2:F41" xr:uid="{00000000-0002-0000-0100-000001000000}">
      <formula1>"High,Medium,Low"</formula1>
      <formula2>0</formula2>
    </dataValidation>
    <dataValidation type="list" allowBlank="1" sqref="G2:G41" xr:uid="{00000000-0002-0000-0100-000002000000}">
      <formula1>"RPA,API Integration,AI/Document Understanding,Process Redesign,Reject/Park"</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
  <sheetViews>
    <sheetView showGridLines="0" zoomScaleNormal="100" workbookViewId="0">
      <pane xSplit="2" ySplit="1" topLeftCell="C2" activePane="bottomRight" state="frozen"/>
      <selection pane="topRight" activeCell="C1" sqref="C1"/>
      <selection pane="bottomLeft" activeCell="A2" sqref="A2"/>
      <selection pane="bottomRight" activeCell="F19" sqref="F19"/>
    </sheetView>
  </sheetViews>
  <sheetFormatPr defaultColWidth="8.6640625" defaultRowHeight="14.4" x14ac:dyDescent="0.3"/>
  <cols>
    <col min="1" max="1" width="11" customWidth="1"/>
    <col min="2" max="2" width="24" customWidth="1"/>
    <col min="3" max="9" width="12" customWidth="1"/>
  </cols>
  <sheetData>
    <row r="1" spans="1:9" ht="21.75" customHeight="1" x14ac:dyDescent="0.3">
      <c r="A1" s="4" t="s">
        <v>14</v>
      </c>
      <c r="B1" s="4" t="s">
        <v>15</v>
      </c>
      <c r="C1" s="4" t="s">
        <v>50</v>
      </c>
      <c r="D1" s="4" t="s">
        <v>51</v>
      </c>
      <c r="E1" s="4" t="s">
        <v>52</v>
      </c>
      <c r="F1" s="4" t="s">
        <v>53</v>
      </c>
      <c r="G1" s="4" t="s">
        <v>54</v>
      </c>
      <c r="H1" s="4" t="s">
        <v>55</v>
      </c>
      <c r="I1" s="4" t="s">
        <v>56</v>
      </c>
    </row>
    <row r="2" spans="1:9" x14ac:dyDescent="0.3">
      <c r="A2" s="7" t="str">
        <f>IF('Process Register'!A2="","",'Process Register'!A2)</f>
        <v>AUT-001</v>
      </c>
      <c r="B2" s="7" t="str">
        <f>IF('Process Register'!B2="","",'Process Register'!B2)</f>
        <v>Invoice Matching - AP</v>
      </c>
      <c r="C2" s="8" t="str">
        <f>IFERROR(IF(ISNUMBER(SEARCH("SAP",'Process Register'!$H2)),"X",""),"")</f>
        <v>X</v>
      </c>
      <c r="D2" s="8" t="str">
        <f>IFERROR(IF(ISNUMBER(SEARCH("Outlook",'Process Register'!$H2)),"X",""),"")</f>
        <v>X</v>
      </c>
      <c r="E2" s="8" t="str">
        <f>IFERROR(IF(ISNUMBER(SEARCH("Excel",'Process Register'!$H2)),"X",""),"")</f>
        <v>X</v>
      </c>
      <c r="F2" s="8" t="str">
        <f>IFERROR(IF(ISNUMBER(SEARCH("Web Portal",'Process Register'!$H2)),"X",""),"")</f>
        <v/>
      </c>
      <c r="G2" s="8" t="str">
        <f>IFERROR(IF(ISNUMBER(SEARCH("Database",'Process Register'!$H2)),"X",""),"")</f>
        <v/>
      </c>
      <c r="H2" s="8" t="str">
        <f>IFERROR(IF(ISNUMBER(SEARCH("SharePoint",'Process Register'!$H2)),"X",""),"")</f>
        <v/>
      </c>
      <c r="I2" s="8" t="str">
        <f>IFERROR(IF(ISNUMBER(SEARCH("Other",'Process Register'!$H2)),"X",""),"")</f>
        <v/>
      </c>
    </row>
    <row r="3" spans="1:9" x14ac:dyDescent="0.3">
      <c r="A3" s="7" t="str">
        <f>IF('Process Register'!A3="","",'Process Register'!A3)</f>
        <v>FIN - 002</v>
      </c>
      <c r="B3" s="7" t="str">
        <f>IF('Process Register'!B3="","",'Process Register'!B3)</f>
        <v>John Test</v>
      </c>
      <c r="C3" s="8" t="str">
        <f>IFERROR(IF(ISNUMBER(SEARCH("SAP",'Process Register'!$H3)),"X",""),"")</f>
        <v/>
      </c>
      <c r="D3" s="8" t="str">
        <f>IFERROR(IF(ISNUMBER(SEARCH("Outlook",'Process Register'!$H3)),"X",""),"")</f>
        <v>X</v>
      </c>
      <c r="E3" s="8" t="str">
        <f>IFERROR(IF(ISNUMBER(SEARCH("Excel",'Process Register'!$H3)),"X",""),"")</f>
        <v/>
      </c>
      <c r="F3" s="8" t="str">
        <f>IFERROR(IF(ISNUMBER(SEARCH("Web Portal",'Process Register'!$H3)),"X",""),"")</f>
        <v>X</v>
      </c>
      <c r="G3" s="8" t="str">
        <f>IFERROR(IF(ISNUMBER(SEARCH("Database",'Process Register'!$H3)),"X",""),"")</f>
        <v/>
      </c>
      <c r="H3" s="8" t="str">
        <f>IFERROR(IF(ISNUMBER(SEARCH("SharePoint",'Process Register'!$H3)),"X",""),"")</f>
        <v/>
      </c>
      <c r="I3" s="8" t="str">
        <f>IFERROR(IF(ISNUMBER(SEARCH("Other",'Process Register'!$H3)),"X",""),"")</f>
        <v/>
      </c>
    </row>
    <row r="4" spans="1:9" x14ac:dyDescent="0.3">
      <c r="A4" s="7" t="str">
        <f>IF('Process Register'!A4="","",'Process Register'!A4)</f>
        <v/>
      </c>
      <c r="B4" s="7" t="str">
        <f>IF('Process Register'!B4="","",'Process Register'!B4)</f>
        <v/>
      </c>
      <c r="C4" s="8" t="str">
        <f>IFERROR(IF(ISNUMBER(SEARCH("SAP",'Process Register'!$H4)),"X",""),"")</f>
        <v/>
      </c>
      <c r="D4" s="8" t="str">
        <f>IFERROR(IF(ISNUMBER(SEARCH("Outlook",'Process Register'!$H4)),"X",""),"")</f>
        <v/>
      </c>
      <c r="E4" s="8" t="str">
        <f>IFERROR(IF(ISNUMBER(SEARCH("Excel",'Process Register'!$H4)),"X",""),"")</f>
        <v/>
      </c>
      <c r="F4" s="8" t="str">
        <f>IFERROR(IF(ISNUMBER(SEARCH("Web Portal",'Process Register'!$H4)),"X",""),"")</f>
        <v/>
      </c>
      <c r="G4" s="8" t="str">
        <f>IFERROR(IF(ISNUMBER(SEARCH("Database",'Process Register'!$H4)),"X",""),"")</f>
        <v/>
      </c>
      <c r="H4" s="8" t="str">
        <f>IFERROR(IF(ISNUMBER(SEARCH("SharePoint",'Process Register'!$H4)),"X",""),"")</f>
        <v/>
      </c>
      <c r="I4" s="8" t="str">
        <f>IFERROR(IF(ISNUMBER(SEARCH("Other",'Process Register'!$H4)),"X",""),"")</f>
        <v/>
      </c>
    </row>
    <row r="5" spans="1:9" x14ac:dyDescent="0.3">
      <c r="A5" s="7" t="str">
        <f>IF('Process Register'!A5="","",'Process Register'!A5)</f>
        <v/>
      </c>
      <c r="B5" s="7" t="str">
        <f>IF('Process Register'!B5="","",'Process Register'!B5)</f>
        <v/>
      </c>
      <c r="C5" s="8" t="str">
        <f>IFERROR(IF(ISNUMBER(SEARCH("SAP",'Process Register'!$H5)),"X",""),"")</f>
        <v/>
      </c>
      <c r="D5" s="8" t="str">
        <f>IFERROR(IF(ISNUMBER(SEARCH("Outlook",'Process Register'!$H5)),"X",""),"")</f>
        <v/>
      </c>
      <c r="E5" s="8" t="str">
        <f>IFERROR(IF(ISNUMBER(SEARCH("Excel",'Process Register'!$H5)),"X",""),"")</f>
        <v/>
      </c>
      <c r="F5" s="8" t="str">
        <f>IFERROR(IF(ISNUMBER(SEARCH("Web Portal",'Process Register'!$H5)),"X",""),"")</f>
        <v/>
      </c>
      <c r="G5" s="8" t="str">
        <f>IFERROR(IF(ISNUMBER(SEARCH("Database",'Process Register'!$H5)),"X",""),"")</f>
        <v/>
      </c>
      <c r="H5" s="8" t="str">
        <f>IFERROR(IF(ISNUMBER(SEARCH("SharePoint",'Process Register'!$H5)),"X",""),"")</f>
        <v/>
      </c>
      <c r="I5" s="8" t="str">
        <f>IFERROR(IF(ISNUMBER(SEARCH("Other",'Process Register'!$H5)),"X",""),"")</f>
        <v/>
      </c>
    </row>
    <row r="6" spans="1:9" x14ac:dyDescent="0.3">
      <c r="A6" s="7" t="str">
        <f>IF('Process Register'!A6="","",'Process Register'!A6)</f>
        <v/>
      </c>
      <c r="B6" s="7" t="str">
        <f>IF('Process Register'!B6="","",'Process Register'!B6)</f>
        <v/>
      </c>
      <c r="C6" s="8" t="str">
        <f>IFERROR(IF(ISNUMBER(SEARCH("SAP",'Process Register'!$H6)),"X",""),"")</f>
        <v/>
      </c>
      <c r="D6" s="8" t="str">
        <f>IFERROR(IF(ISNUMBER(SEARCH("Outlook",'Process Register'!$H6)),"X",""),"")</f>
        <v/>
      </c>
      <c r="E6" s="8" t="str">
        <f>IFERROR(IF(ISNUMBER(SEARCH("Excel",'Process Register'!$H6)),"X",""),"")</f>
        <v/>
      </c>
      <c r="F6" s="8" t="str">
        <f>IFERROR(IF(ISNUMBER(SEARCH("Web Portal",'Process Register'!$H6)),"X",""),"")</f>
        <v/>
      </c>
      <c r="G6" s="8" t="str">
        <f>IFERROR(IF(ISNUMBER(SEARCH("Database",'Process Register'!$H6)),"X",""),"")</f>
        <v/>
      </c>
      <c r="H6" s="8" t="str">
        <f>IFERROR(IF(ISNUMBER(SEARCH("SharePoint",'Process Register'!$H6)),"X",""),"")</f>
        <v/>
      </c>
      <c r="I6" s="8" t="str">
        <f>IFERROR(IF(ISNUMBER(SEARCH("Other",'Process Register'!$H6)),"X",""),"")</f>
        <v/>
      </c>
    </row>
    <row r="7" spans="1:9" x14ac:dyDescent="0.3">
      <c r="A7" s="7" t="str">
        <f>IF('Process Register'!A7="","",'Process Register'!A7)</f>
        <v/>
      </c>
      <c r="B7" s="7" t="str">
        <f>IF('Process Register'!B7="","",'Process Register'!B7)</f>
        <v/>
      </c>
      <c r="C7" s="8" t="str">
        <f>IFERROR(IF(ISNUMBER(SEARCH("SAP",'Process Register'!$H7)),"X",""),"")</f>
        <v/>
      </c>
      <c r="D7" s="8" t="str">
        <f>IFERROR(IF(ISNUMBER(SEARCH("Outlook",'Process Register'!$H7)),"X",""),"")</f>
        <v/>
      </c>
      <c r="E7" s="8" t="str">
        <f>IFERROR(IF(ISNUMBER(SEARCH("Excel",'Process Register'!$H7)),"X",""),"")</f>
        <v/>
      </c>
      <c r="F7" s="8" t="str">
        <f>IFERROR(IF(ISNUMBER(SEARCH("Web Portal",'Process Register'!$H7)),"X",""),"")</f>
        <v/>
      </c>
      <c r="G7" s="8" t="str">
        <f>IFERROR(IF(ISNUMBER(SEARCH("Database",'Process Register'!$H7)),"X",""),"")</f>
        <v/>
      </c>
      <c r="H7" s="8" t="str">
        <f>IFERROR(IF(ISNUMBER(SEARCH("SharePoint",'Process Register'!$H7)),"X",""),"")</f>
        <v/>
      </c>
      <c r="I7" s="8" t="str">
        <f>IFERROR(IF(ISNUMBER(SEARCH("Other",'Process Register'!$H7)),"X",""),"")</f>
        <v/>
      </c>
    </row>
    <row r="8" spans="1:9" x14ac:dyDescent="0.3">
      <c r="A8" s="7" t="str">
        <f>IF('Process Register'!A8="","",'Process Register'!A8)</f>
        <v/>
      </c>
      <c r="B8" s="7" t="str">
        <f>IF('Process Register'!B8="","",'Process Register'!B8)</f>
        <v/>
      </c>
      <c r="C8" s="8" t="str">
        <f>IFERROR(IF(ISNUMBER(SEARCH("SAP",'Process Register'!$H8)),"X",""),"")</f>
        <v/>
      </c>
      <c r="D8" s="8" t="str">
        <f>IFERROR(IF(ISNUMBER(SEARCH("Outlook",'Process Register'!$H8)),"X",""),"")</f>
        <v/>
      </c>
      <c r="E8" s="8" t="str">
        <f>IFERROR(IF(ISNUMBER(SEARCH("Excel",'Process Register'!$H8)),"X",""),"")</f>
        <v/>
      </c>
      <c r="F8" s="8" t="str">
        <f>IFERROR(IF(ISNUMBER(SEARCH("Web Portal",'Process Register'!$H8)),"X",""),"")</f>
        <v/>
      </c>
      <c r="G8" s="8" t="str">
        <f>IFERROR(IF(ISNUMBER(SEARCH("Database",'Process Register'!$H8)),"X",""),"")</f>
        <v/>
      </c>
      <c r="H8" s="8" t="str">
        <f>IFERROR(IF(ISNUMBER(SEARCH("SharePoint",'Process Register'!$H8)),"X",""),"")</f>
        <v/>
      </c>
      <c r="I8" s="8" t="str">
        <f>IFERROR(IF(ISNUMBER(SEARCH("Other",'Process Register'!$H8)),"X",""),"")</f>
        <v/>
      </c>
    </row>
    <row r="9" spans="1:9" x14ac:dyDescent="0.3">
      <c r="A9" s="7" t="str">
        <f>IF('Process Register'!A9="","",'Process Register'!A9)</f>
        <v/>
      </c>
      <c r="B9" s="7" t="str">
        <f>IF('Process Register'!B9="","",'Process Register'!B9)</f>
        <v/>
      </c>
      <c r="C9" s="8" t="str">
        <f>IFERROR(IF(ISNUMBER(SEARCH("SAP",'Process Register'!$H9)),"X",""),"")</f>
        <v/>
      </c>
      <c r="D9" s="8" t="str">
        <f>IFERROR(IF(ISNUMBER(SEARCH("Outlook",'Process Register'!$H9)),"X",""),"")</f>
        <v/>
      </c>
      <c r="E9" s="8" t="str">
        <f>IFERROR(IF(ISNUMBER(SEARCH("Excel",'Process Register'!$H9)),"X",""),"")</f>
        <v/>
      </c>
      <c r="F9" s="8" t="str">
        <f>IFERROR(IF(ISNUMBER(SEARCH("Web Portal",'Process Register'!$H9)),"X",""),"")</f>
        <v/>
      </c>
      <c r="G9" s="8" t="str">
        <f>IFERROR(IF(ISNUMBER(SEARCH("Database",'Process Register'!$H9)),"X",""),"")</f>
        <v/>
      </c>
      <c r="H9" s="8" t="str">
        <f>IFERROR(IF(ISNUMBER(SEARCH("SharePoint",'Process Register'!$H9)),"X",""),"")</f>
        <v/>
      </c>
      <c r="I9" s="8" t="str">
        <f>IFERROR(IF(ISNUMBER(SEARCH("Other",'Process Register'!$H9)),"X",""),"")</f>
        <v/>
      </c>
    </row>
    <row r="10" spans="1:9" x14ac:dyDescent="0.3">
      <c r="A10" s="7" t="str">
        <f>IF('Process Register'!A10="","",'Process Register'!A10)</f>
        <v/>
      </c>
      <c r="B10" s="7" t="str">
        <f>IF('Process Register'!B10="","",'Process Register'!B10)</f>
        <v/>
      </c>
      <c r="C10" s="8" t="str">
        <f>IFERROR(IF(ISNUMBER(SEARCH("SAP",'Process Register'!$H10)),"X",""),"")</f>
        <v/>
      </c>
      <c r="D10" s="8" t="str">
        <f>IFERROR(IF(ISNUMBER(SEARCH("Outlook",'Process Register'!$H10)),"X",""),"")</f>
        <v/>
      </c>
      <c r="E10" s="8" t="str">
        <f>IFERROR(IF(ISNUMBER(SEARCH("Excel",'Process Register'!$H10)),"X",""),"")</f>
        <v/>
      </c>
      <c r="F10" s="8" t="str">
        <f>IFERROR(IF(ISNUMBER(SEARCH("Web Portal",'Process Register'!$H10)),"X",""),"")</f>
        <v/>
      </c>
      <c r="G10" s="8" t="str">
        <f>IFERROR(IF(ISNUMBER(SEARCH("Database",'Process Register'!$H10)),"X",""),"")</f>
        <v/>
      </c>
      <c r="H10" s="8" t="str">
        <f>IFERROR(IF(ISNUMBER(SEARCH("SharePoint",'Process Register'!$H10)),"X",""),"")</f>
        <v/>
      </c>
      <c r="I10" s="8" t="str">
        <f>IFERROR(IF(ISNUMBER(SEARCH("Other",'Process Register'!$H10)),"X",""),"")</f>
        <v/>
      </c>
    </row>
    <row r="11" spans="1:9" x14ac:dyDescent="0.3">
      <c r="A11" s="7" t="str">
        <f>IF('Process Register'!A11="","",'Process Register'!A11)</f>
        <v/>
      </c>
      <c r="B11" s="7" t="str">
        <f>IF('Process Register'!B11="","",'Process Register'!B11)</f>
        <v/>
      </c>
      <c r="C11" s="8" t="str">
        <f>IFERROR(IF(ISNUMBER(SEARCH("SAP",'Process Register'!$H11)),"X",""),"")</f>
        <v/>
      </c>
      <c r="D11" s="8" t="str">
        <f>IFERROR(IF(ISNUMBER(SEARCH("Outlook",'Process Register'!$H11)),"X",""),"")</f>
        <v/>
      </c>
      <c r="E11" s="8" t="str">
        <f>IFERROR(IF(ISNUMBER(SEARCH("Excel",'Process Register'!$H11)),"X",""),"")</f>
        <v/>
      </c>
      <c r="F11" s="8" t="str">
        <f>IFERROR(IF(ISNUMBER(SEARCH("Web Portal",'Process Register'!$H11)),"X",""),"")</f>
        <v/>
      </c>
      <c r="G11" s="8" t="str">
        <f>IFERROR(IF(ISNUMBER(SEARCH("Database",'Process Register'!$H11)),"X",""),"")</f>
        <v/>
      </c>
      <c r="H11" s="8" t="str">
        <f>IFERROR(IF(ISNUMBER(SEARCH("SharePoint",'Process Register'!$H11)),"X",""),"")</f>
        <v/>
      </c>
      <c r="I11" s="8" t="str">
        <f>IFERROR(IF(ISNUMBER(SEARCH("Other",'Process Register'!$H11)),"X",""),"")</f>
        <v/>
      </c>
    </row>
    <row r="12" spans="1:9" x14ac:dyDescent="0.3">
      <c r="A12" s="7" t="str">
        <f>IF('Process Register'!A12="","",'Process Register'!A12)</f>
        <v/>
      </c>
      <c r="B12" s="7" t="str">
        <f>IF('Process Register'!B12="","",'Process Register'!B12)</f>
        <v/>
      </c>
      <c r="C12" s="8" t="str">
        <f>IFERROR(IF(ISNUMBER(SEARCH("SAP",'Process Register'!$H12)),"X",""),"")</f>
        <v/>
      </c>
      <c r="D12" s="8" t="str">
        <f>IFERROR(IF(ISNUMBER(SEARCH("Outlook",'Process Register'!$H12)),"X",""),"")</f>
        <v/>
      </c>
      <c r="E12" s="8" t="str">
        <f>IFERROR(IF(ISNUMBER(SEARCH("Excel",'Process Register'!$H12)),"X",""),"")</f>
        <v/>
      </c>
      <c r="F12" s="8" t="str">
        <f>IFERROR(IF(ISNUMBER(SEARCH("Web Portal",'Process Register'!$H12)),"X",""),"")</f>
        <v/>
      </c>
      <c r="G12" s="8" t="str">
        <f>IFERROR(IF(ISNUMBER(SEARCH("Database",'Process Register'!$H12)),"X",""),"")</f>
        <v/>
      </c>
      <c r="H12" s="8" t="str">
        <f>IFERROR(IF(ISNUMBER(SEARCH("SharePoint",'Process Register'!$H12)),"X",""),"")</f>
        <v/>
      </c>
      <c r="I12" s="8" t="str">
        <f>IFERROR(IF(ISNUMBER(SEARCH("Other",'Process Register'!$H12)),"X",""),"")</f>
        <v/>
      </c>
    </row>
    <row r="13" spans="1:9" x14ac:dyDescent="0.3">
      <c r="A13" s="7" t="str">
        <f>IF('Process Register'!A13="","",'Process Register'!A13)</f>
        <v/>
      </c>
      <c r="B13" s="7" t="str">
        <f>IF('Process Register'!B13="","",'Process Register'!B13)</f>
        <v/>
      </c>
      <c r="C13" s="8" t="str">
        <f>IFERROR(IF(ISNUMBER(SEARCH("SAP",'Process Register'!$H13)),"X",""),"")</f>
        <v/>
      </c>
      <c r="D13" s="8" t="str">
        <f>IFERROR(IF(ISNUMBER(SEARCH("Outlook",'Process Register'!$H13)),"X",""),"")</f>
        <v/>
      </c>
      <c r="E13" s="8" t="str">
        <f>IFERROR(IF(ISNUMBER(SEARCH("Excel",'Process Register'!$H13)),"X",""),"")</f>
        <v/>
      </c>
      <c r="F13" s="8" t="str">
        <f>IFERROR(IF(ISNUMBER(SEARCH("Web Portal",'Process Register'!$H13)),"X",""),"")</f>
        <v/>
      </c>
      <c r="G13" s="8" t="str">
        <f>IFERROR(IF(ISNUMBER(SEARCH("Database",'Process Register'!$H13)),"X",""),"")</f>
        <v/>
      </c>
      <c r="H13" s="8" t="str">
        <f>IFERROR(IF(ISNUMBER(SEARCH("SharePoint",'Process Register'!$H13)),"X",""),"")</f>
        <v/>
      </c>
      <c r="I13" s="8" t="str">
        <f>IFERROR(IF(ISNUMBER(SEARCH("Other",'Process Register'!$H13)),"X",""),"")</f>
        <v/>
      </c>
    </row>
    <row r="14" spans="1:9" x14ac:dyDescent="0.3">
      <c r="A14" s="7" t="str">
        <f>IF('Process Register'!A14="","",'Process Register'!A14)</f>
        <v/>
      </c>
      <c r="B14" s="7" t="str">
        <f>IF('Process Register'!B14="","",'Process Register'!B14)</f>
        <v/>
      </c>
      <c r="C14" s="8" t="str">
        <f>IFERROR(IF(ISNUMBER(SEARCH("SAP",'Process Register'!$H14)),"X",""),"")</f>
        <v/>
      </c>
      <c r="D14" s="8" t="str">
        <f>IFERROR(IF(ISNUMBER(SEARCH("Outlook",'Process Register'!$H14)),"X",""),"")</f>
        <v/>
      </c>
      <c r="E14" s="8" t="str">
        <f>IFERROR(IF(ISNUMBER(SEARCH("Excel",'Process Register'!$H14)),"X",""),"")</f>
        <v/>
      </c>
      <c r="F14" s="8" t="str">
        <f>IFERROR(IF(ISNUMBER(SEARCH("Web Portal",'Process Register'!$H14)),"X",""),"")</f>
        <v/>
      </c>
      <c r="G14" s="8" t="str">
        <f>IFERROR(IF(ISNUMBER(SEARCH("Database",'Process Register'!$H14)),"X",""),"")</f>
        <v/>
      </c>
      <c r="H14" s="8" t="str">
        <f>IFERROR(IF(ISNUMBER(SEARCH("SharePoint",'Process Register'!$H14)),"X",""),"")</f>
        <v/>
      </c>
      <c r="I14" s="8" t="str">
        <f>IFERROR(IF(ISNUMBER(SEARCH("Other",'Process Register'!$H14)),"X",""),"")</f>
        <v/>
      </c>
    </row>
    <row r="15" spans="1:9" x14ac:dyDescent="0.3">
      <c r="A15" s="7" t="str">
        <f>IF('Process Register'!A15="","",'Process Register'!A15)</f>
        <v/>
      </c>
      <c r="B15" s="7" t="str">
        <f>IF('Process Register'!B15="","",'Process Register'!B15)</f>
        <v/>
      </c>
      <c r="C15" s="8" t="str">
        <f>IFERROR(IF(ISNUMBER(SEARCH("SAP",'Process Register'!$H15)),"X",""),"")</f>
        <v/>
      </c>
      <c r="D15" s="8" t="str">
        <f>IFERROR(IF(ISNUMBER(SEARCH("Outlook",'Process Register'!$H15)),"X",""),"")</f>
        <v/>
      </c>
      <c r="E15" s="8" t="str">
        <f>IFERROR(IF(ISNUMBER(SEARCH("Excel",'Process Register'!$H15)),"X",""),"")</f>
        <v/>
      </c>
      <c r="F15" s="8" t="str">
        <f>IFERROR(IF(ISNUMBER(SEARCH("Web Portal",'Process Register'!$H15)),"X",""),"")</f>
        <v/>
      </c>
      <c r="G15" s="8" t="str">
        <f>IFERROR(IF(ISNUMBER(SEARCH("Database",'Process Register'!$H15)),"X",""),"")</f>
        <v/>
      </c>
      <c r="H15" s="8" t="str">
        <f>IFERROR(IF(ISNUMBER(SEARCH("SharePoint",'Process Register'!$H15)),"X",""),"")</f>
        <v/>
      </c>
      <c r="I15" s="8" t="str">
        <f>IFERROR(IF(ISNUMBER(SEARCH("Other",'Process Register'!$H15)),"X",""),"")</f>
        <v/>
      </c>
    </row>
    <row r="16" spans="1:9" x14ac:dyDescent="0.3">
      <c r="A16" s="7" t="str">
        <f>IF('Process Register'!A16="","",'Process Register'!A16)</f>
        <v/>
      </c>
      <c r="B16" s="7" t="str">
        <f>IF('Process Register'!B16="","",'Process Register'!B16)</f>
        <v/>
      </c>
      <c r="C16" s="8" t="str">
        <f>IFERROR(IF(ISNUMBER(SEARCH("SAP",'Process Register'!$H16)),"X",""),"")</f>
        <v/>
      </c>
      <c r="D16" s="8" t="str">
        <f>IFERROR(IF(ISNUMBER(SEARCH("Outlook",'Process Register'!$H16)),"X",""),"")</f>
        <v/>
      </c>
      <c r="E16" s="8" t="str">
        <f>IFERROR(IF(ISNUMBER(SEARCH("Excel",'Process Register'!$H16)),"X",""),"")</f>
        <v/>
      </c>
      <c r="F16" s="8" t="str">
        <f>IFERROR(IF(ISNUMBER(SEARCH("Web Portal",'Process Register'!$H16)),"X",""),"")</f>
        <v/>
      </c>
      <c r="G16" s="8" t="str">
        <f>IFERROR(IF(ISNUMBER(SEARCH("Database",'Process Register'!$H16)),"X",""),"")</f>
        <v/>
      </c>
      <c r="H16" s="8" t="str">
        <f>IFERROR(IF(ISNUMBER(SEARCH("SharePoint",'Process Register'!$H16)),"X",""),"")</f>
        <v/>
      </c>
      <c r="I16" s="8" t="str">
        <f>IFERROR(IF(ISNUMBER(SEARCH("Other",'Process Register'!$H16)),"X",""),"")</f>
        <v/>
      </c>
    </row>
    <row r="17" spans="1:9" x14ac:dyDescent="0.3">
      <c r="A17" s="7" t="str">
        <f>IF('Process Register'!A17="","",'Process Register'!A17)</f>
        <v/>
      </c>
      <c r="B17" s="7" t="str">
        <f>IF('Process Register'!B17="","",'Process Register'!B17)</f>
        <v/>
      </c>
      <c r="C17" s="8" t="str">
        <f>IFERROR(IF(ISNUMBER(SEARCH("SAP",'Process Register'!$H17)),"X",""),"")</f>
        <v/>
      </c>
      <c r="D17" s="8" t="str">
        <f>IFERROR(IF(ISNUMBER(SEARCH("Outlook",'Process Register'!$H17)),"X",""),"")</f>
        <v/>
      </c>
      <c r="E17" s="8" t="str">
        <f>IFERROR(IF(ISNUMBER(SEARCH("Excel",'Process Register'!$H17)),"X",""),"")</f>
        <v/>
      </c>
      <c r="F17" s="8" t="str">
        <f>IFERROR(IF(ISNUMBER(SEARCH("Web Portal",'Process Register'!$H17)),"X",""),"")</f>
        <v/>
      </c>
      <c r="G17" s="8" t="str">
        <f>IFERROR(IF(ISNUMBER(SEARCH("Database",'Process Register'!$H17)),"X",""),"")</f>
        <v/>
      </c>
      <c r="H17" s="8" t="str">
        <f>IFERROR(IF(ISNUMBER(SEARCH("SharePoint",'Process Register'!$H17)),"X",""),"")</f>
        <v/>
      </c>
      <c r="I17" s="8" t="str">
        <f>IFERROR(IF(ISNUMBER(SEARCH("Other",'Process Register'!$H17)),"X",""),"")</f>
        <v/>
      </c>
    </row>
    <row r="18" spans="1:9" x14ac:dyDescent="0.3">
      <c r="A18" s="7" t="str">
        <f>IF('Process Register'!A18="","",'Process Register'!A18)</f>
        <v/>
      </c>
      <c r="B18" s="7" t="str">
        <f>IF('Process Register'!B18="","",'Process Register'!B18)</f>
        <v/>
      </c>
      <c r="C18" s="8" t="str">
        <f>IFERROR(IF(ISNUMBER(SEARCH("SAP",'Process Register'!$H18)),"X",""),"")</f>
        <v/>
      </c>
      <c r="D18" s="8" t="str">
        <f>IFERROR(IF(ISNUMBER(SEARCH("Outlook",'Process Register'!$H18)),"X",""),"")</f>
        <v/>
      </c>
      <c r="E18" s="8" t="str">
        <f>IFERROR(IF(ISNUMBER(SEARCH("Excel",'Process Register'!$H18)),"X",""),"")</f>
        <v/>
      </c>
      <c r="F18" s="8" t="str">
        <f>IFERROR(IF(ISNUMBER(SEARCH("Web Portal",'Process Register'!$H18)),"X",""),"")</f>
        <v/>
      </c>
      <c r="G18" s="8" t="str">
        <f>IFERROR(IF(ISNUMBER(SEARCH("Database",'Process Register'!$H18)),"X",""),"")</f>
        <v/>
      </c>
      <c r="H18" s="8" t="str">
        <f>IFERROR(IF(ISNUMBER(SEARCH("SharePoint",'Process Register'!$H18)),"X",""),"")</f>
        <v/>
      </c>
      <c r="I18" s="8" t="str">
        <f>IFERROR(IF(ISNUMBER(SEARCH("Other",'Process Register'!$H18)),"X",""),"")</f>
        <v/>
      </c>
    </row>
    <row r="19" spans="1:9" x14ac:dyDescent="0.3">
      <c r="A19" s="7" t="str">
        <f>IF('Process Register'!A19="","",'Process Register'!A19)</f>
        <v/>
      </c>
      <c r="B19" s="7" t="str">
        <f>IF('Process Register'!B19="","",'Process Register'!B19)</f>
        <v/>
      </c>
      <c r="C19" s="8" t="str">
        <f>IFERROR(IF(ISNUMBER(SEARCH("SAP",'Process Register'!$H19)),"X",""),"")</f>
        <v/>
      </c>
      <c r="D19" s="8" t="str">
        <f>IFERROR(IF(ISNUMBER(SEARCH("Outlook",'Process Register'!$H19)),"X",""),"")</f>
        <v/>
      </c>
      <c r="E19" s="8" t="str">
        <f>IFERROR(IF(ISNUMBER(SEARCH("Excel",'Process Register'!$H19)),"X",""),"")</f>
        <v/>
      </c>
      <c r="F19" s="8" t="str">
        <f>IFERROR(IF(ISNUMBER(SEARCH("Web Portal",'Process Register'!$H19)),"X",""),"")</f>
        <v/>
      </c>
      <c r="G19" s="8" t="str">
        <f>IFERROR(IF(ISNUMBER(SEARCH("Database",'Process Register'!$H19)),"X",""),"")</f>
        <v/>
      </c>
      <c r="H19" s="8" t="str">
        <f>IFERROR(IF(ISNUMBER(SEARCH("SharePoint",'Process Register'!$H19)),"X",""),"")</f>
        <v/>
      </c>
      <c r="I19" s="8" t="str">
        <f>IFERROR(IF(ISNUMBER(SEARCH("Other",'Process Register'!$H19)),"X",""),"")</f>
        <v/>
      </c>
    </row>
    <row r="20" spans="1:9" x14ac:dyDescent="0.3">
      <c r="A20" s="7" t="str">
        <f>IF('Process Register'!A20="","",'Process Register'!A20)</f>
        <v/>
      </c>
      <c r="B20" s="7" t="str">
        <f>IF('Process Register'!B20="","",'Process Register'!B20)</f>
        <v/>
      </c>
      <c r="C20" s="8" t="str">
        <f>IFERROR(IF(ISNUMBER(SEARCH("SAP",'Process Register'!$H20)),"X",""),"")</f>
        <v/>
      </c>
      <c r="D20" s="8" t="str">
        <f>IFERROR(IF(ISNUMBER(SEARCH("Outlook",'Process Register'!$H20)),"X",""),"")</f>
        <v/>
      </c>
      <c r="E20" s="8" t="str">
        <f>IFERROR(IF(ISNUMBER(SEARCH("Excel",'Process Register'!$H20)),"X",""),"")</f>
        <v/>
      </c>
      <c r="F20" s="8" t="str">
        <f>IFERROR(IF(ISNUMBER(SEARCH("Web Portal",'Process Register'!$H20)),"X",""),"")</f>
        <v/>
      </c>
      <c r="G20" s="8" t="str">
        <f>IFERROR(IF(ISNUMBER(SEARCH("Database",'Process Register'!$H20)),"X",""),"")</f>
        <v/>
      </c>
      <c r="H20" s="8" t="str">
        <f>IFERROR(IF(ISNUMBER(SEARCH("SharePoint",'Process Register'!$H20)),"X",""),"")</f>
        <v/>
      </c>
      <c r="I20" s="8" t="str">
        <f>IFERROR(IF(ISNUMBER(SEARCH("Other",'Process Register'!$H20)),"X",""),"")</f>
        <v/>
      </c>
    </row>
    <row r="21" spans="1:9" x14ac:dyDescent="0.3">
      <c r="A21" s="7" t="str">
        <f>IF('Process Register'!A21="","",'Process Register'!A21)</f>
        <v/>
      </c>
      <c r="B21" s="7" t="str">
        <f>IF('Process Register'!B21="","",'Process Register'!B21)</f>
        <v/>
      </c>
      <c r="C21" s="8" t="str">
        <f>IFERROR(IF(ISNUMBER(SEARCH("SAP",'Process Register'!$H21)),"X",""),"")</f>
        <v/>
      </c>
      <c r="D21" s="8" t="str">
        <f>IFERROR(IF(ISNUMBER(SEARCH("Outlook",'Process Register'!$H21)),"X",""),"")</f>
        <v/>
      </c>
      <c r="E21" s="8" t="str">
        <f>IFERROR(IF(ISNUMBER(SEARCH("Excel",'Process Register'!$H21)),"X",""),"")</f>
        <v/>
      </c>
      <c r="F21" s="8" t="str">
        <f>IFERROR(IF(ISNUMBER(SEARCH("Web Portal",'Process Register'!$H21)),"X",""),"")</f>
        <v/>
      </c>
      <c r="G21" s="8" t="str">
        <f>IFERROR(IF(ISNUMBER(SEARCH("Database",'Process Register'!$H21)),"X",""),"")</f>
        <v/>
      </c>
      <c r="H21" s="8" t="str">
        <f>IFERROR(IF(ISNUMBER(SEARCH("SharePoint",'Process Register'!$H21)),"X",""),"")</f>
        <v/>
      </c>
      <c r="I21" s="8" t="str">
        <f>IFERROR(IF(ISNUMBER(SEARCH("Other",'Process Register'!$H21)),"X",""),"")</f>
        <v/>
      </c>
    </row>
    <row r="22" spans="1:9" x14ac:dyDescent="0.3">
      <c r="A22" s="7" t="str">
        <f>IF('Process Register'!A22="","",'Process Register'!A22)</f>
        <v/>
      </c>
      <c r="B22" s="7" t="str">
        <f>IF('Process Register'!B22="","",'Process Register'!B22)</f>
        <v/>
      </c>
      <c r="C22" s="8" t="str">
        <f>IFERROR(IF(ISNUMBER(SEARCH("SAP",'Process Register'!$H22)),"X",""),"")</f>
        <v/>
      </c>
      <c r="D22" s="8" t="str">
        <f>IFERROR(IF(ISNUMBER(SEARCH("Outlook",'Process Register'!$H22)),"X",""),"")</f>
        <v/>
      </c>
      <c r="E22" s="8" t="str">
        <f>IFERROR(IF(ISNUMBER(SEARCH("Excel",'Process Register'!$H22)),"X",""),"")</f>
        <v/>
      </c>
      <c r="F22" s="8" t="str">
        <f>IFERROR(IF(ISNUMBER(SEARCH("Web Portal",'Process Register'!$H22)),"X",""),"")</f>
        <v/>
      </c>
      <c r="G22" s="8" t="str">
        <f>IFERROR(IF(ISNUMBER(SEARCH("Database",'Process Register'!$H22)),"X",""),"")</f>
        <v/>
      </c>
      <c r="H22" s="8" t="str">
        <f>IFERROR(IF(ISNUMBER(SEARCH("SharePoint",'Process Register'!$H22)),"X",""),"")</f>
        <v/>
      </c>
      <c r="I22" s="8" t="str">
        <f>IFERROR(IF(ISNUMBER(SEARCH("Other",'Process Register'!$H22)),"X",""),"")</f>
        <v/>
      </c>
    </row>
    <row r="23" spans="1:9" x14ac:dyDescent="0.3">
      <c r="A23" s="7" t="str">
        <f>IF('Process Register'!A23="","",'Process Register'!A23)</f>
        <v/>
      </c>
      <c r="B23" s="7" t="str">
        <f>IF('Process Register'!B23="","",'Process Register'!B23)</f>
        <v/>
      </c>
      <c r="C23" s="8" t="str">
        <f>IFERROR(IF(ISNUMBER(SEARCH("SAP",'Process Register'!$H23)),"X",""),"")</f>
        <v/>
      </c>
      <c r="D23" s="8" t="str">
        <f>IFERROR(IF(ISNUMBER(SEARCH("Outlook",'Process Register'!$H23)),"X",""),"")</f>
        <v/>
      </c>
      <c r="E23" s="8" t="str">
        <f>IFERROR(IF(ISNUMBER(SEARCH("Excel",'Process Register'!$H23)),"X",""),"")</f>
        <v/>
      </c>
      <c r="F23" s="8" t="str">
        <f>IFERROR(IF(ISNUMBER(SEARCH("Web Portal",'Process Register'!$H23)),"X",""),"")</f>
        <v/>
      </c>
      <c r="G23" s="8" t="str">
        <f>IFERROR(IF(ISNUMBER(SEARCH("Database",'Process Register'!$H23)),"X",""),"")</f>
        <v/>
      </c>
      <c r="H23" s="8" t="str">
        <f>IFERROR(IF(ISNUMBER(SEARCH("SharePoint",'Process Register'!$H23)),"X",""),"")</f>
        <v/>
      </c>
      <c r="I23" s="8" t="str">
        <f>IFERROR(IF(ISNUMBER(SEARCH("Other",'Process Register'!$H23)),"X",""),"")</f>
        <v/>
      </c>
    </row>
    <row r="24" spans="1:9" x14ac:dyDescent="0.3">
      <c r="A24" s="7" t="str">
        <f>IF('Process Register'!A24="","",'Process Register'!A24)</f>
        <v/>
      </c>
      <c r="B24" s="7" t="str">
        <f>IF('Process Register'!B24="","",'Process Register'!B24)</f>
        <v/>
      </c>
      <c r="C24" s="8" t="str">
        <f>IFERROR(IF(ISNUMBER(SEARCH("SAP",'Process Register'!$H24)),"X",""),"")</f>
        <v/>
      </c>
      <c r="D24" s="8" t="str">
        <f>IFERROR(IF(ISNUMBER(SEARCH("Outlook",'Process Register'!$H24)),"X",""),"")</f>
        <v/>
      </c>
      <c r="E24" s="8" t="str">
        <f>IFERROR(IF(ISNUMBER(SEARCH("Excel",'Process Register'!$H24)),"X",""),"")</f>
        <v/>
      </c>
      <c r="F24" s="8" t="str">
        <f>IFERROR(IF(ISNUMBER(SEARCH("Web Portal",'Process Register'!$H24)),"X",""),"")</f>
        <v/>
      </c>
      <c r="G24" s="8" t="str">
        <f>IFERROR(IF(ISNUMBER(SEARCH("Database",'Process Register'!$H24)),"X",""),"")</f>
        <v/>
      </c>
      <c r="H24" s="8" t="str">
        <f>IFERROR(IF(ISNUMBER(SEARCH("SharePoint",'Process Register'!$H24)),"X",""),"")</f>
        <v/>
      </c>
      <c r="I24" s="8" t="str">
        <f>IFERROR(IF(ISNUMBER(SEARCH("Other",'Process Register'!$H24)),"X",""),"")</f>
        <v/>
      </c>
    </row>
    <row r="25" spans="1:9" x14ac:dyDescent="0.3">
      <c r="A25" s="7" t="str">
        <f>IF('Process Register'!A25="","",'Process Register'!A25)</f>
        <v/>
      </c>
      <c r="B25" s="7" t="str">
        <f>IF('Process Register'!B25="","",'Process Register'!B25)</f>
        <v/>
      </c>
      <c r="C25" s="8" t="str">
        <f>IFERROR(IF(ISNUMBER(SEARCH("SAP",'Process Register'!$H25)),"X",""),"")</f>
        <v/>
      </c>
      <c r="D25" s="8" t="str">
        <f>IFERROR(IF(ISNUMBER(SEARCH("Outlook",'Process Register'!$H25)),"X",""),"")</f>
        <v/>
      </c>
      <c r="E25" s="8" t="str">
        <f>IFERROR(IF(ISNUMBER(SEARCH("Excel",'Process Register'!$H25)),"X",""),"")</f>
        <v/>
      </c>
      <c r="F25" s="8" t="str">
        <f>IFERROR(IF(ISNUMBER(SEARCH("Web Portal",'Process Register'!$H25)),"X",""),"")</f>
        <v/>
      </c>
      <c r="G25" s="8" t="str">
        <f>IFERROR(IF(ISNUMBER(SEARCH("Database",'Process Register'!$H25)),"X",""),"")</f>
        <v/>
      </c>
      <c r="H25" s="8" t="str">
        <f>IFERROR(IF(ISNUMBER(SEARCH("SharePoint",'Process Register'!$H25)),"X",""),"")</f>
        <v/>
      </c>
      <c r="I25" s="8" t="str">
        <f>IFERROR(IF(ISNUMBER(SEARCH("Other",'Process Register'!$H25)),"X",""),"")</f>
        <v/>
      </c>
    </row>
    <row r="26" spans="1:9" x14ac:dyDescent="0.3">
      <c r="A26" s="7" t="str">
        <f>IF('Process Register'!A26="","",'Process Register'!A26)</f>
        <v/>
      </c>
      <c r="B26" s="7" t="str">
        <f>IF('Process Register'!B26="","",'Process Register'!B26)</f>
        <v/>
      </c>
      <c r="C26" s="8" t="str">
        <f>IFERROR(IF(ISNUMBER(SEARCH("SAP",'Process Register'!$H26)),"X",""),"")</f>
        <v/>
      </c>
      <c r="D26" s="8" t="str">
        <f>IFERROR(IF(ISNUMBER(SEARCH("Outlook",'Process Register'!$H26)),"X",""),"")</f>
        <v/>
      </c>
      <c r="E26" s="8" t="str">
        <f>IFERROR(IF(ISNUMBER(SEARCH("Excel",'Process Register'!$H26)),"X",""),"")</f>
        <v/>
      </c>
      <c r="F26" s="8" t="str">
        <f>IFERROR(IF(ISNUMBER(SEARCH("Web Portal",'Process Register'!$H26)),"X",""),"")</f>
        <v/>
      </c>
      <c r="G26" s="8" t="str">
        <f>IFERROR(IF(ISNUMBER(SEARCH("Database",'Process Register'!$H26)),"X",""),"")</f>
        <v/>
      </c>
      <c r="H26" s="8" t="str">
        <f>IFERROR(IF(ISNUMBER(SEARCH("SharePoint",'Process Register'!$H26)),"X",""),"")</f>
        <v/>
      </c>
      <c r="I26" s="8" t="str">
        <f>IFERROR(IF(ISNUMBER(SEARCH("Other",'Process Register'!$H26)),"X",""),"")</f>
        <v/>
      </c>
    </row>
    <row r="27" spans="1:9" x14ac:dyDescent="0.3">
      <c r="A27" s="7" t="str">
        <f>IF('Process Register'!A27="","",'Process Register'!A27)</f>
        <v/>
      </c>
      <c r="B27" s="7" t="str">
        <f>IF('Process Register'!B27="","",'Process Register'!B27)</f>
        <v/>
      </c>
      <c r="C27" s="8" t="str">
        <f>IFERROR(IF(ISNUMBER(SEARCH("SAP",'Process Register'!$H27)),"X",""),"")</f>
        <v/>
      </c>
      <c r="D27" s="8" t="str">
        <f>IFERROR(IF(ISNUMBER(SEARCH("Outlook",'Process Register'!$H27)),"X",""),"")</f>
        <v/>
      </c>
      <c r="E27" s="8" t="str">
        <f>IFERROR(IF(ISNUMBER(SEARCH("Excel",'Process Register'!$H27)),"X",""),"")</f>
        <v/>
      </c>
      <c r="F27" s="8" t="str">
        <f>IFERROR(IF(ISNUMBER(SEARCH("Web Portal",'Process Register'!$H27)),"X",""),"")</f>
        <v/>
      </c>
      <c r="G27" s="8" t="str">
        <f>IFERROR(IF(ISNUMBER(SEARCH("Database",'Process Register'!$H27)),"X",""),"")</f>
        <v/>
      </c>
      <c r="H27" s="8" t="str">
        <f>IFERROR(IF(ISNUMBER(SEARCH("SharePoint",'Process Register'!$H27)),"X",""),"")</f>
        <v/>
      </c>
      <c r="I27" s="8" t="str">
        <f>IFERROR(IF(ISNUMBER(SEARCH("Other",'Process Register'!$H27)),"X",""),"")</f>
        <v/>
      </c>
    </row>
    <row r="28" spans="1:9" x14ac:dyDescent="0.3">
      <c r="A28" s="7" t="str">
        <f>IF('Process Register'!A28="","",'Process Register'!A28)</f>
        <v/>
      </c>
      <c r="B28" s="7" t="str">
        <f>IF('Process Register'!B28="","",'Process Register'!B28)</f>
        <v/>
      </c>
      <c r="C28" s="8" t="str">
        <f>IFERROR(IF(ISNUMBER(SEARCH("SAP",'Process Register'!$H28)),"X",""),"")</f>
        <v/>
      </c>
      <c r="D28" s="8" t="str">
        <f>IFERROR(IF(ISNUMBER(SEARCH("Outlook",'Process Register'!$H28)),"X",""),"")</f>
        <v/>
      </c>
      <c r="E28" s="8" t="str">
        <f>IFERROR(IF(ISNUMBER(SEARCH("Excel",'Process Register'!$H28)),"X",""),"")</f>
        <v/>
      </c>
      <c r="F28" s="8" t="str">
        <f>IFERROR(IF(ISNUMBER(SEARCH("Web Portal",'Process Register'!$H28)),"X",""),"")</f>
        <v/>
      </c>
      <c r="G28" s="8" t="str">
        <f>IFERROR(IF(ISNUMBER(SEARCH("Database",'Process Register'!$H28)),"X",""),"")</f>
        <v/>
      </c>
      <c r="H28" s="8" t="str">
        <f>IFERROR(IF(ISNUMBER(SEARCH("SharePoint",'Process Register'!$H28)),"X",""),"")</f>
        <v/>
      </c>
      <c r="I28" s="8" t="str">
        <f>IFERROR(IF(ISNUMBER(SEARCH("Other",'Process Register'!$H28)),"X",""),"")</f>
        <v/>
      </c>
    </row>
    <row r="29" spans="1:9" x14ac:dyDescent="0.3">
      <c r="A29" s="7" t="str">
        <f>IF('Process Register'!A29="","",'Process Register'!A29)</f>
        <v/>
      </c>
      <c r="B29" s="7" t="str">
        <f>IF('Process Register'!B29="","",'Process Register'!B29)</f>
        <v/>
      </c>
      <c r="C29" s="8" t="str">
        <f>IFERROR(IF(ISNUMBER(SEARCH("SAP",'Process Register'!$H29)),"X",""),"")</f>
        <v/>
      </c>
      <c r="D29" s="8" t="str">
        <f>IFERROR(IF(ISNUMBER(SEARCH("Outlook",'Process Register'!$H29)),"X",""),"")</f>
        <v/>
      </c>
      <c r="E29" s="8" t="str">
        <f>IFERROR(IF(ISNUMBER(SEARCH("Excel",'Process Register'!$H29)),"X",""),"")</f>
        <v/>
      </c>
      <c r="F29" s="8" t="str">
        <f>IFERROR(IF(ISNUMBER(SEARCH("Web Portal",'Process Register'!$H29)),"X",""),"")</f>
        <v/>
      </c>
      <c r="G29" s="8" t="str">
        <f>IFERROR(IF(ISNUMBER(SEARCH("Database",'Process Register'!$H29)),"X",""),"")</f>
        <v/>
      </c>
      <c r="H29" s="8" t="str">
        <f>IFERROR(IF(ISNUMBER(SEARCH("SharePoint",'Process Register'!$H29)),"X",""),"")</f>
        <v/>
      </c>
      <c r="I29" s="8" t="str">
        <f>IFERROR(IF(ISNUMBER(SEARCH("Other",'Process Register'!$H29)),"X",""),"")</f>
        <v/>
      </c>
    </row>
    <row r="30" spans="1:9" x14ac:dyDescent="0.3">
      <c r="A30" s="7" t="str">
        <f>IF('Process Register'!A30="","",'Process Register'!A30)</f>
        <v/>
      </c>
      <c r="B30" s="7" t="str">
        <f>IF('Process Register'!B30="","",'Process Register'!B30)</f>
        <v/>
      </c>
      <c r="C30" s="8" t="str">
        <f>IFERROR(IF(ISNUMBER(SEARCH("SAP",'Process Register'!$H30)),"X",""),"")</f>
        <v/>
      </c>
      <c r="D30" s="8" t="str">
        <f>IFERROR(IF(ISNUMBER(SEARCH("Outlook",'Process Register'!$H30)),"X",""),"")</f>
        <v/>
      </c>
      <c r="E30" s="8" t="str">
        <f>IFERROR(IF(ISNUMBER(SEARCH("Excel",'Process Register'!$H30)),"X",""),"")</f>
        <v/>
      </c>
      <c r="F30" s="8" t="str">
        <f>IFERROR(IF(ISNUMBER(SEARCH("Web Portal",'Process Register'!$H30)),"X",""),"")</f>
        <v/>
      </c>
      <c r="G30" s="8" t="str">
        <f>IFERROR(IF(ISNUMBER(SEARCH("Database",'Process Register'!$H30)),"X",""),"")</f>
        <v/>
      </c>
      <c r="H30" s="8" t="str">
        <f>IFERROR(IF(ISNUMBER(SEARCH("SharePoint",'Process Register'!$H30)),"X",""),"")</f>
        <v/>
      </c>
      <c r="I30" s="8" t="str">
        <f>IFERROR(IF(ISNUMBER(SEARCH("Other",'Process Register'!$H30)),"X",""),"")</f>
        <v/>
      </c>
    </row>
    <row r="31" spans="1:9" x14ac:dyDescent="0.3">
      <c r="A31" s="7" t="str">
        <f>IF('Process Register'!A31="","",'Process Register'!A31)</f>
        <v/>
      </c>
      <c r="B31" s="7" t="str">
        <f>IF('Process Register'!B31="","",'Process Register'!B31)</f>
        <v/>
      </c>
      <c r="C31" s="8" t="str">
        <f>IFERROR(IF(ISNUMBER(SEARCH("SAP",'Process Register'!$H31)),"X",""),"")</f>
        <v/>
      </c>
      <c r="D31" s="8" t="str">
        <f>IFERROR(IF(ISNUMBER(SEARCH("Outlook",'Process Register'!$H31)),"X",""),"")</f>
        <v/>
      </c>
      <c r="E31" s="8" t="str">
        <f>IFERROR(IF(ISNUMBER(SEARCH("Excel",'Process Register'!$H31)),"X",""),"")</f>
        <v/>
      </c>
      <c r="F31" s="8" t="str">
        <f>IFERROR(IF(ISNUMBER(SEARCH("Web Portal",'Process Register'!$H31)),"X",""),"")</f>
        <v/>
      </c>
      <c r="G31" s="8" t="str">
        <f>IFERROR(IF(ISNUMBER(SEARCH("Database",'Process Register'!$H31)),"X",""),"")</f>
        <v/>
      </c>
      <c r="H31" s="8" t="str">
        <f>IFERROR(IF(ISNUMBER(SEARCH("SharePoint",'Process Register'!$H31)),"X",""),"")</f>
        <v/>
      </c>
      <c r="I31" s="8" t="str">
        <f>IFERROR(IF(ISNUMBER(SEARCH("Other",'Process Register'!$H31)),"X",""),"")</f>
        <v/>
      </c>
    </row>
    <row r="32" spans="1:9" x14ac:dyDescent="0.3">
      <c r="A32" s="7" t="str">
        <f>IF('Process Register'!A32="","",'Process Register'!A32)</f>
        <v/>
      </c>
      <c r="B32" s="7" t="str">
        <f>IF('Process Register'!B32="","",'Process Register'!B32)</f>
        <v/>
      </c>
      <c r="C32" s="8" t="str">
        <f>IFERROR(IF(ISNUMBER(SEARCH("SAP",'Process Register'!$H32)),"X",""),"")</f>
        <v/>
      </c>
      <c r="D32" s="8" t="str">
        <f>IFERROR(IF(ISNUMBER(SEARCH("Outlook",'Process Register'!$H32)),"X",""),"")</f>
        <v/>
      </c>
      <c r="E32" s="8" t="str">
        <f>IFERROR(IF(ISNUMBER(SEARCH("Excel",'Process Register'!$H32)),"X",""),"")</f>
        <v/>
      </c>
      <c r="F32" s="8" t="str">
        <f>IFERROR(IF(ISNUMBER(SEARCH("Web Portal",'Process Register'!$H32)),"X",""),"")</f>
        <v/>
      </c>
      <c r="G32" s="8" t="str">
        <f>IFERROR(IF(ISNUMBER(SEARCH("Database",'Process Register'!$H32)),"X",""),"")</f>
        <v/>
      </c>
      <c r="H32" s="8" t="str">
        <f>IFERROR(IF(ISNUMBER(SEARCH("SharePoint",'Process Register'!$H32)),"X",""),"")</f>
        <v/>
      </c>
      <c r="I32" s="8" t="str">
        <f>IFERROR(IF(ISNUMBER(SEARCH("Other",'Process Register'!$H32)),"X",""),"")</f>
        <v/>
      </c>
    </row>
    <row r="33" spans="1:9" x14ac:dyDescent="0.3">
      <c r="A33" s="7" t="str">
        <f>IF('Process Register'!A33="","",'Process Register'!A33)</f>
        <v/>
      </c>
      <c r="B33" s="7" t="str">
        <f>IF('Process Register'!B33="","",'Process Register'!B33)</f>
        <v/>
      </c>
      <c r="C33" s="8" t="str">
        <f>IFERROR(IF(ISNUMBER(SEARCH("SAP",'Process Register'!$H33)),"X",""),"")</f>
        <v/>
      </c>
      <c r="D33" s="8" t="str">
        <f>IFERROR(IF(ISNUMBER(SEARCH("Outlook",'Process Register'!$H33)),"X",""),"")</f>
        <v/>
      </c>
      <c r="E33" s="8" t="str">
        <f>IFERROR(IF(ISNUMBER(SEARCH("Excel",'Process Register'!$H33)),"X",""),"")</f>
        <v/>
      </c>
      <c r="F33" s="8" t="str">
        <f>IFERROR(IF(ISNUMBER(SEARCH("Web Portal",'Process Register'!$H33)),"X",""),"")</f>
        <v/>
      </c>
      <c r="G33" s="8" t="str">
        <f>IFERROR(IF(ISNUMBER(SEARCH("Database",'Process Register'!$H33)),"X",""),"")</f>
        <v/>
      </c>
      <c r="H33" s="8" t="str">
        <f>IFERROR(IF(ISNUMBER(SEARCH("SharePoint",'Process Register'!$H33)),"X",""),"")</f>
        <v/>
      </c>
      <c r="I33" s="8" t="str">
        <f>IFERROR(IF(ISNUMBER(SEARCH("Other",'Process Register'!$H33)),"X",""),"")</f>
        <v/>
      </c>
    </row>
    <row r="34" spans="1:9" x14ac:dyDescent="0.3">
      <c r="A34" s="7" t="str">
        <f>IF('Process Register'!A34="","",'Process Register'!A34)</f>
        <v/>
      </c>
      <c r="B34" s="7" t="str">
        <f>IF('Process Register'!B34="","",'Process Register'!B34)</f>
        <v/>
      </c>
      <c r="C34" s="8" t="str">
        <f>IFERROR(IF(ISNUMBER(SEARCH("SAP",'Process Register'!$H34)),"X",""),"")</f>
        <v/>
      </c>
      <c r="D34" s="8" t="str">
        <f>IFERROR(IF(ISNUMBER(SEARCH("Outlook",'Process Register'!$H34)),"X",""),"")</f>
        <v/>
      </c>
      <c r="E34" s="8" t="str">
        <f>IFERROR(IF(ISNUMBER(SEARCH("Excel",'Process Register'!$H34)),"X",""),"")</f>
        <v/>
      </c>
      <c r="F34" s="8" t="str">
        <f>IFERROR(IF(ISNUMBER(SEARCH("Web Portal",'Process Register'!$H34)),"X",""),"")</f>
        <v/>
      </c>
      <c r="G34" s="8" t="str">
        <f>IFERROR(IF(ISNUMBER(SEARCH("Database",'Process Register'!$H34)),"X",""),"")</f>
        <v/>
      </c>
      <c r="H34" s="8" t="str">
        <f>IFERROR(IF(ISNUMBER(SEARCH("SharePoint",'Process Register'!$H34)),"X",""),"")</f>
        <v/>
      </c>
      <c r="I34" s="8" t="str">
        <f>IFERROR(IF(ISNUMBER(SEARCH("Other",'Process Register'!$H34)),"X",""),"")</f>
        <v/>
      </c>
    </row>
    <row r="35" spans="1:9" x14ac:dyDescent="0.3">
      <c r="A35" s="7" t="str">
        <f>IF('Process Register'!A35="","",'Process Register'!A35)</f>
        <v/>
      </c>
      <c r="B35" s="7" t="str">
        <f>IF('Process Register'!B35="","",'Process Register'!B35)</f>
        <v/>
      </c>
      <c r="C35" s="8" t="str">
        <f>IFERROR(IF(ISNUMBER(SEARCH("SAP",'Process Register'!$H35)),"X",""),"")</f>
        <v/>
      </c>
      <c r="D35" s="8" t="str">
        <f>IFERROR(IF(ISNUMBER(SEARCH("Outlook",'Process Register'!$H35)),"X",""),"")</f>
        <v/>
      </c>
      <c r="E35" s="8" t="str">
        <f>IFERROR(IF(ISNUMBER(SEARCH("Excel",'Process Register'!$H35)),"X",""),"")</f>
        <v/>
      </c>
      <c r="F35" s="8" t="str">
        <f>IFERROR(IF(ISNUMBER(SEARCH("Web Portal",'Process Register'!$H35)),"X",""),"")</f>
        <v/>
      </c>
      <c r="G35" s="8" t="str">
        <f>IFERROR(IF(ISNUMBER(SEARCH("Database",'Process Register'!$H35)),"X",""),"")</f>
        <v/>
      </c>
      <c r="H35" s="8" t="str">
        <f>IFERROR(IF(ISNUMBER(SEARCH("SharePoint",'Process Register'!$H35)),"X",""),"")</f>
        <v/>
      </c>
      <c r="I35" s="8" t="str">
        <f>IFERROR(IF(ISNUMBER(SEARCH("Other",'Process Register'!$H35)),"X",""),"")</f>
        <v/>
      </c>
    </row>
    <row r="36" spans="1:9" x14ac:dyDescent="0.3">
      <c r="A36" s="7" t="str">
        <f>IF('Process Register'!A36="","",'Process Register'!A36)</f>
        <v/>
      </c>
      <c r="B36" s="7" t="str">
        <f>IF('Process Register'!B36="","",'Process Register'!B36)</f>
        <v/>
      </c>
      <c r="C36" s="8" t="str">
        <f>IFERROR(IF(ISNUMBER(SEARCH("SAP",'Process Register'!$H36)),"X",""),"")</f>
        <v/>
      </c>
      <c r="D36" s="8" t="str">
        <f>IFERROR(IF(ISNUMBER(SEARCH("Outlook",'Process Register'!$H36)),"X",""),"")</f>
        <v/>
      </c>
      <c r="E36" s="8" t="str">
        <f>IFERROR(IF(ISNUMBER(SEARCH("Excel",'Process Register'!$H36)),"X",""),"")</f>
        <v/>
      </c>
      <c r="F36" s="8" t="str">
        <f>IFERROR(IF(ISNUMBER(SEARCH("Web Portal",'Process Register'!$H36)),"X",""),"")</f>
        <v/>
      </c>
      <c r="G36" s="8" t="str">
        <f>IFERROR(IF(ISNUMBER(SEARCH("Database",'Process Register'!$H36)),"X",""),"")</f>
        <v/>
      </c>
      <c r="H36" s="8" t="str">
        <f>IFERROR(IF(ISNUMBER(SEARCH("SharePoint",'Process Register'!$H36)),"X",""),"")</f>
        <v/>
      </c>
      <c r="I36" s="8" t="str">
        <f>IFERROR(IF(ISNUMBER(SEARCH("Other",'Process Register'!$H36)),"X",""),"")</f>
        <v/>
      </c>
    </row>
    <row r="37" spans="1:9" x14ac:dyDescent="0.3">
      <c r="A37" s="7" t="str">
        <f>IF('Process Register'!A37="","",'Process Register'!A37)</f>
        <v/>
      </c>
      <c r="B37" s="7" t="str">
        <f>IF('Process Register'!B37="","",'Process Register'!B37)</f>
        <v/>
      </c>
      <c r="C37" s="8" t="str">
        <f>IFERROR(IF(ISNUMBER(SEARCH("SAP",'Process Register'!$H37)),"X",""),"")</f>
        <v/>
      </c>
      <c r="D37" s="8" t="str">
        <f>IFERROR(IF(ISNUMBER(SEARCH("Outlook",'Process Register'!$H37)),"X",""),"")</f>
        <v/>
      </c>
      <c r="E37" s="8" t="str">
        <f>IFERROR(IF(ISNUMBER(SEARCH("Excel",'Process Register'!$H37)),"X",""),"")</f>
        <v/>
      </c>
      <c r="F37" s="8" t="str">
        <f>IFERROR(IF(ISNUMBER(SEARCH("Web Portal",'Process Register'!$H37)),"X",""),"")</f>
        <v/>
      </c>
      <c r="G37" s="8" t="str">
        <f>IFERROR(IF(ISNUMBER(SEARCH("Database",'Process Register'!$H37)),"X",""),"")</f>
        <v/>
      </c>
      <c r="H37" s="8" t="str">
        <f>IFERROR(IF(ISNUMBER(SEARCH("SharePoint",'Process Register'!$H37)),"X",""),"")</f>
        <v/>
      </c>
      <c r="I37" s="8" t="str">
        <f>IFERROR(IF(ISNUMBER(SEARCH("Other",'Process Register'!$H37)),"X",""),"")</f>
        <v/>
      </c>
    </row>
    <row r="38" spans="1:9" x14ac:dyDescent="0.3">
      <c r="A38" s="7" t="str">
        <f>IF('Process Register'!A38="","",'Process Register'!A38)</f>
        <v/>
      </c>
      <c r="B38" s="7" t="str">
        <f>IF('Process Register'!B38="","",'Process Register'!B38)</f>
        <v/>
      </c>
      <c r="C38" s="8" t="str">
        <f>IFERROR(IF(ISNUMBER(SEARCH("SAP",'Process Register'!$H38)),"X",""),"")</f>
        <v/>
      </c>
      <c r="D38" s="8" t="str">
        <f>IFERROR(IF(ISNUMBER(SEARCH("Outlook",'Process Register'!$H38)),"X",""),"")</f>
        <v/>
      </c>
      <c r="E38" s="8" t="str">
        <f>IFERROR(IF(ISNUMBER(SEARCH("Excel",'Process Register'!$H38)),"X",""),"")</f>
        <v/>
      </c>
      <c r="F38" s="8" t="str">
        <f>IFERROR(IF(ISNUMBER(SEARCH("Web Portal",'Process Register'!$H38)),"X",""),"")</f>
        <v/>
      </c>
      <c r="G38" s="8" t="str">
        <f>IFERROR(IF(ISNUMBER(SEARCH("Database",'Process Register'!$H38)),"X",""),"")</f>
        <v/>
      </c>
      <c r="H38" s="8" t="str">
        <f>IFERROR(IF(ISNUMBER(SEARCH("SharePoint",'Process Register'!$H38)),"X",""),"")</f>
        <v/>
      </c>
      <c r="I38" s="8" t="str">
        <f>IFERROR(IF(ISNUMBER(SEARCH("Other",'Process Register'!$H38)),"X",""),"")</f>
        <v/>
      </c>
    </row>
    <row r="39" spans="1:9" x14ac:dyDescent="0.3">
      <c r="A39" s="7" t="str">
        <f>IF('Process Register'!A39="","",'Process Register'!A39)</f>
        <v/>
      </c>
      <c r="B39" s="7" t="str">
        <f>IF('Process Register'!B39="","",'Process Register'!B39)</f>
        <v/>
      </c>
      <c r="C39" s="8" t="str">
        <f>IFERROR(IF(ISNUMBER(SEARCH("SAP",'Process Register'!$H39)),"X",""),"")</f>
        <v/>
      </c>
      <c r="D39" s="8" t="str">
        <f>IFERROR(IF(ISNUMBER(SEARCH("Outlook",'Process Register'!$H39)),"X",""),"")</f>
        <v/>
      </c>
      <c r="E39" s="8" t="str">
        <f>IFERROR(IF(ISNUMBER(SEARCH("Excel",'Process Register'!$H39)),"X",""),"")</f>
        <v/>
      </c>
      <c r="F39" s="8" t="str">
        <f>IFERROR(IF(ISNUMBER(SEARCH("Web Portal",'Process Register'!$H39)),"X",""),"")</f>
        <v/>
      </c>
      <c r="G39" s="8" t="str">
        <f>IFERROR(IF(ISNUMBER(SEARCH("Database",'Process Register'!$H39)),"X",""),"")</f>
        <v/>
      </c>
      <c r="H39" s="8" t="str">
        <f>IFERROR(IF(ISNUMBER(SEARCH("SharePoint",'Process Register'!$H39)),"X",""),"")</f>
        <v/>
      </c>
      <c r="I39" s="8" t="str">
        <f>IFERROR(IF(ISNUMBER(SEARCH("Other",'Process Register'!$H39)),"X",""),"")</f>
        <v/>
      </c>
    </row>
    <row r="40" spans="1:9" x14ac:dyDescent="0.3">
      <c r="A40" s="7" t="str">
        <f>IF('Process Register'!A40="","",'Process Register'!A40)</f>
        <v/>
      </c>
      <c r="B40" s="7" t="str">
        <f>IF('Process Register'!B40="","",'Process Register'!B40)</f>
        <v/>
      </c>
      <c r="C40" s="8" t="str">
        <f>IFERROR(IF(ISNUMBER(SEARCH("SAP",'Process Register'!$H40)),"X",""),"")</f>
        <v/>
      </c>
      <c r="D40" s="8" t="str">
        <f>IFERROR(IF(ISNUMBER(SEARCH("Outlook",'Process Register'!$H40)),"X",""),"")</f>
        <v/>
      </c>
      <c r="E40" s="8" t="str">
        <f>IFERROR(IF(ISNUMBER(SEARCH("Excel",'Process Register'!$H40)),"X",""),"")</f>
        <v/>
      </c>
      <c r="F40" s="8" t="str">
        <f>IFERROR(IF(ISNUMBER(SEARCH("Web Portal",'Process Register'!$H40)),"X",""),"")</f>
        <v/>
      </c>
      <c r="G40" s="8" t="str">
        <f>IFERROR(IF(ISNUMBER(SEARCH("Database",'Process Register'!$H40)),"X",""),"")</f>
        <v/>
      </c>
      <c r="H40" s="8" t="str">
        <f>IFERROR(IF(ISNUMBER(SEARCH("SharePoint",'Process Register'!$H40)),"X",""),"")</f>
        <v/>
      </c>
      <c r="I40" s="8" t="str">
        <f>IFERROR(IF(ISNUMBER(SEARCH("Other",'Process Register'!$H40)),"X",""),"")</f>
        <v/>
      </c>
    </row>
    <row r="41" spans="1:9" x14ac:dyDescent="0.3">
      <c r="A41" s="7" t="str">
        <f>IF('Process Register'!A41="","",'Process Register'!A41)</f>
        <v/>
      </c>
      <c r="B41" s="7" t="str">
        <f>IF('Process Register'!B41="","",'Process Register'!B41)</f>
        <v/>
      </c>
      <c r="C41" s="8" t="str">
        <f>IFERROR(IF(ISNUMBER(SEARCH("SAP",'Process Register'!$H41)),"X",""),"")</f>
        <v/>
      </c>
      <c r="D41" s="8" t="str">
        <f>IFERROR(IF(ISNUMBER(SEARCH("Outlook",'Process Register'!$H41)),"X",""),"")</f>
        <v/>
      </c>
      <c r="E41" s="8" t="str">
        <f>IFERROR(IF(ISNUMBER(SEARCH("Excel",'Process Register'!$H41)),"X",""),"")</f>
        <v/>
      </c>
      <c r="F41" s="8" t="str">
        <f>IFERROR(IF(ISNUMBER(SEARCH("Web Portal",'Process Register'!$H41)),"X",""),"")</f>
        <v/>
      </c>
      <c r="G41" s="8" t="str">
        <f>IFERROR(IF(ISNUMBER(SEARCH("Database",'Process Register'!$H41)),"X",""),"")</f>
        <v/>
      </c>
      <c r="H41" s="8" t="str">
        <f>IFERROR(IF(ISNUMBER(SEARCH("SharePoint",'Process Register'!$H41)),"X",""),"")</f>
        <v/>
      </c>
      <c r="I41" s="8" t="str">
        <f>IFERROR(IF(ISNUMBER(SEARCH("Other",'Process Register'!$H41)),"X",""),"")</f>
        <v/>
      </c>
    </row>
    <row r="43" spans="1:9" x14ac:dyDescent="0.3">
      <c r="B43" s="9" t="s">
        <v>57</v>
      </c>
      <c r="C43" s="8">
        <f t="shared" ref="C43:I43" si="0">COUNTIF(C2:C41,"X")</f>
        <v>1</v>
      </c>
      <c r="D43" s="8">
        <f t="shared" si="0"/>
        <v>2</v>
      </c>
      <c r="E43" s="8">
        <f t="shared" si="0"/>
        <v>1</v>
      </c>
      <c r="F43" s="8">
        <f t="shared" si="0"/>
        <v>1</v>
      </c>
      <c r="G43" s="8">
        <f t="shared" si="0"/>
        <v>0</v>
      </c>
      <c r="H43" s="8">
        <f t="shared" si="0"/>
        <v>0</v>
      </c>
      <c r="I43" s="8">
        <f t="shared" si="0"/>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showGridLines="0" tabSelected="1" topLeftCell="A4" zoomScaleNormal="100" workbookViewId="0">
      <selection activeCell="H15" sqref="H15"/>
    </sheetView>
  </sheetViews>
  <sheetFormatPr defaultColWidth="8.6640625" defaultRowHeight="14.4" x14ac:dyDescent="0.3"/>
  <cols>
    <col min="1" max="1" width="26" customWidth="1"/>
    <col min="2" max="2" width="14" customWidth="1"/>
    <col min="4" max="4" width="26" customWidth="1"/>
    <col min="5" max="5" width="14" customWidth="1"/>
    <col min="7" max="7" width="14" customWidth="1"/>
    <col min="8" max="8" width="22" customWidth="1"/>
  </cols>
  <sheetData>
    <row r="1" spans="1:5" ht="22.8" x14ac:dyDescent="0.4">
      <c r="A1" s="10" t="s">
        <v>58</v>
      </c>
    </row>
    <row r="3" spans="1:5" x14ac:dyDescent="0.3">
      <c r="A3" s="9" t="s">
        <v>59</v>
      </c>
      <c r="B3" s="11">
        <f>COUNTA('Process Register'!A2:A41)</f>
        <v>2</v>
      </c>
    </row>
    <row r="4" spans="1:5" x14ac:dyDescent="0.3">
      <c r="A4" s="9" t="s">
        <v>60</v>
      </c>
      <c r="B4" s="11">
        <f>COUNTIF('Process Register'!E2:E41,"Production")</f>
        <v>1</v>
      </c>
    </row>
    <row r="5" spans="1:5" x14ac:dyDescent="0.3">
      <c r="A5" s="9" t="s">
        <v>61</v>
      </c>
      <c r="B5" s="11">
        <f>COUNTIF('Process Register'!E2:E41,"In Development")+COUNTIF('Process Register'!E2:E41,"Testing/UAT")</f>
        <v>1</v>
      </c>
    </row>
    <row r="6" spans="1:5" x14ac:dyDescent="0.3">
      <c r="A6" s="9" t="s">
        <v>62</v>
      </c>
      <c r="B6" s="11">
        <f>COUNTIF('Process Register'!E2:E41,"Backlog")+COUNTIF('Process Register'!E2:E41,"Discovery")+COUNTIF('Process Register'!E2:E41,"Feasibility Review")+COUNTIF('Process Register'!E2:E41,"Governance Decision")</f>
        <v>0</v>
      </c>
    </row>
    <row r="7" spans="1:5" x14ac:dyDescent="0.3">
      <c r="A7" s="9" t="s">
        <v>63</v>
      </c>
      <c r="B7" s="11">
        <f>COUNTIF('Process Register'!E2:E41,"Parked")+COUNTIF('Process Register'!E2:E41,"Rejected")</f>
        <v>0</v>
      </c>
    </row>
    <row r="8" spans="1:5" x14ac:dyDescent="0.3">
      <c r="A8" s="9" t="s">
        <v>64</v>
      </c>
      <c r="B8" s="11">
        <f>SUM('Process Register'!R2:R41)</f>
        <v>480</v>
      </c>
    </row>
    <row r="9" spans="1:5" x14ac:dyDescent="0.3">
      <c r="A9" s="9" t="s">
        <v>65</v>
      </c>
      <c r="B9" s="11">
        <f>SUM('Process Register'!S2:S41)</f>
        <v>0</v>
      </c>
    </row>
    <row r="11" spans="1:5" ht="15.6" x14ac:dyDescent="0.3">
      <c r="A11" s="12" t="s">
        <v>66</v>
      </c>
      <c r="D11" s="12" t="s">
        <v>67</v>
      </c>
    </row>
    <row r="12" spans="1:5" x14ac:dyDescent="0.3">
      <c r="A12" s="13" t="s">
        <v>18</v>
      </c>
      <c r="B12" s="13" t="s">
        <v>68</v>
      </c>
      <c r="D12" s="13" t="s">
        <v>69</v>
      </c>
      <c r="E12" s="13" t="s">
        <v>68</v>
      </c>
    </row>
    <row r="13" spans="1:5" x14ac:dyDescent="0.3">
      <c r="A13" s="7" t="s">
        <v>70</v>
      </c>
      <c r="B13" s="14">
        <f>COUNTIF('Process Register'!E2:E41,"Backlog")</f>
        <v>0</v>
      </c>
      <c r="D13" s="7" t="s">
        <v>50</v>
      </c>
      <c r="E13" s="14">
        <f>'Systems Matrix'!C43</f>
        <v>1</v>
      </c>
    </row>
    <row r="14" spans="1:5" x14ac:dyDescent="0.3">
      <c r="A14" s="7" t="s">
        <v>71</v>
      </c>
      <c r="B14" s="14">
        <f>COUNTIF('Process Register'!E2:E41,"Discovery")</f>
        <v>0</v>
      </c>
      <c r="D14" s="7" t="s">
        <v>51</v>
      </c>
      <c r="E14" s="14">
        <f>'Systems Matrix'!D43</f>
        <v>2</v>
      </c>
    </row>
    <row r="15" spans="1:5" x14ac:dyDescent="0.3">
      <c r="A15" s="7" t="s">
        <v>72</v>
      </c>
      <c r="B15" s="14">
        <f>COUNTIF('Process Register'!E2:E41,"Feasibility Review")</f>
        <v>0</v>
      </c>
      <c r="D15" s="7" t="s">
        <v>52</v>
      </c>
      <c r="E15" s="14">
        <f>'Systems Matrix'!E43</f>
        <v>1</v>
      </c>
    </row>
    <row r="16" spans="1:5" x14ac:dyDescent="0.3">
      <c r="A16" s="7" t="s">
        <v>73</v>
      </c>
      <c r="B16" s="14">
        <f>COUNTIF('Process Register'!E2:E41,"Governance Decision")</f>
        <v>0</v>
      </c>
      <c r="D16" s="7" t="s">
        <v>53</v>
      </c>
      <c r="E16" s="14">
        <f>'Systems Matrix'!F43</f>
        <v>1</v>
      </c>
    </row>
    <row r="17" spans="1:5" x14ac:dyDescent="0.3">
      <c r="A17" s="7" t="s">
        <v>74</v>
      </c>
      <c r="B17" s="14">
        <f>COUNTIF('Process Register'!E2:E41,"Approved - In Design")</f>
        <v>0</v>
      </c>
      <c r="D17" s="7" t="s">
        <v>54</v>
      </c>
      <c r="E17" s="14">
        <f>'Systems Matrix'!G43</f>
        <v>0</v>
      </c>
    </row>
    <row r="18" spans="1:5" x14ac:dyDescent="0.3">
      <c r="A18" s="7" t="s">
        <v>38</v>
      </c>
      <c r="B18" s="14">
        <f>COUNTIF('Process Register'!E2:E41,"In Development")</f>
        <v>1</v>
      </c>
      <c r="D18" s="7" t="s">
        <v>55</v>
      </c>
      <c r="E18" s="14">
        <f>'Systems Matrix'!H43</f>
        <v>0</v>
      </c>
    </row>
    <row r="19" spans="1:5" x14ac:dyDescent="0.3">
      <c r="A19" s="7" t="s">
        <v>75</v>
      </c>
      <c r="B19" s="14">
        <f>COUNTIF('Process Register'!E2:E41,"Testing/UAT")</f>
        <v>0</v>
      </c>
      <c r="D19" s="7" t="s">
        <v>56</v>
      </c>
      <c r="E19" s="14">
        <f>'Systems Matrix'!I43</f>
        <v>0</v>
      </c>
    </row>
    <row r="20" spans="1:5" x14ac:dyDescent="0.3">
      <c r="A20" s="7" t="s">
        <v>76</v>
      </c>
      <c r="B20" s="14">
        <f>COUNTIF('Process Register'!E2:E41,"Production")</f>
        <v>1</v>
      </c>
    </row>
    <row r="21" spans="1:5" x14ac:dyDescent="0.3">
      <c r="A21" s="7" t="s">
        <v>77</v>
      </c>
      <c r="B21" s="14">
        <f>COUNTIF('Process Register'!E2:E41,"Parked")</f>
        <v>0</v>
      </c>
    </row>
    <row r="22" spans="1:5" x14ac:dyDescent="0.3">
      <c r="A22" s="7" t="s">
        <v>78</v>
      </c>
      <c r="B22" s="14">
        <f>COUNTIF('Process Register'!E2:E41,"Rejected")</f>
        <v>0</v>
      </c>
    </row>
    <row r="23" spans="1:5" x14ac:dyDescent="0.3">
      <c r="A23" s="7" t="s">
        <v>79</v>
      </c>
      <c r="B23" s="14">
        <f>COUNTIF('Process Register'!E2:E41,"Retired")</f>
        <v>0</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Process Register</vt:lpstr>
      <vt:lpstr>Systems Matrix</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Radoslav Takev</cp:lastModifiedBy>
  <cp:revision>1</cp:revision>
  <dcterms:created xsi:type="dcterms:W3CDTF">2026-07-30T08:40:54Z</dcterms:created>
  <dcterms:modified xsi:type="dcterms:W3CDTF">2026-07-30T11:05:44Z</dcterms:modified>
  <dc:language>en-US</dc:language>
</cp:coreProperties>
</file>